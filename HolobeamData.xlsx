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etingegroup-my.sharepoint.com/personal/lauren_brenner_getinge_com/Documents/Documents/Personal/Holobeam Materials/"/>
    </mc:Choice>
  </mc:AlternateContent>
  <xr:revisionPtr revIDLastSave="38" documentId="8_{D85613F8-5E78-4EA5-A2CA-AA62B433503C}" xr6:coauthVersionLast="47" xr6:coauthVersionMax="47" xr10:uidLastSave="{7B5E947B-5B06-49AF-86C2-770DB9D553A3}"/>
  <bookViews>
    <workbookView xWindow="-108" yWindow="-108" windowWidth="23256" windowHeight="13896" activeTab="2" xr2:uid="{00000000-000D-0000-FFFF-FFFF00000000}"/>
  </bookViews>
  <sheets>
    <sheet name="BaselineData" sheetId="1" r:id="rId1"/>
    <sheet name="FineTuneData" sheetId="2" r:id="rId2"/>
    <sheet name="OneImprov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alcChain>
</file>

<file path=xl/sharedStrings.xml><?xml version="1.0" encoding="utf-8"?>
<sst xmlns="http://schemas.openxmlformats.org/spreadsheetml/2006/main" count="377" uniqueCount="106">
  <si>
    <t>Image</t>
  </si>
  <si>
    <t>Lung</t>
  </si>
  <si>
    <t>IoU</t>
  </si>
  <si>
    <t>c:\Users\19083\Desktop\OneDrive\Desktop\Holobeam\lung_challenge_kit_v6\lung_challenge_kit_v6\data\images\test\LIDC-IDRI-0056.png</t>
  </si>
  <si>
    <t>Left</t>
  </si>
  <si>
    <t>Right</t>
  </si>
  <si>
    <t>c:\Users\19083\Desktop\OneDrive\Desktop\Holobeam\lung_challenge_kit_v6\lung_challenge_kit_v6\data\images\test\LIDC-IDRI-0065.png</t>
  </si>
  <si>
    <t>c:\Users\19083\Desktop\OneDrive\Desktop\Holobeam\lung_challenge_kit_v6\lung_challenge_kit_v6\data\images\test\LIDC-IDRI-0087.png</t>
  </si>
  <si>
    <t>c:\Users\19083\Desktop\OneDrive\Desktop\Holobeam\lung_challenge_kit_v6\lung_challenge_kit_v6\data\images\test\LIDC-IDRI-0143.png</t>
  </si>
  <si>
    <t>c:\Users\19083\Desktop\OneDrive\Desktop\Holobeam\lung_challenge_kit_v6\lung_challenge_kit_v6\data\images\test\LIDC-IDRI-0144.png</t>
  </si>
  <si>
    <t>c:\Users\19083\Desktop\OneDrive\Desktop\Holobeam\lung_challenge_kit_v6\lung_challenge_kit_v6\data\images\test\LIDC-IDRI-0194.png</t>
  </si>
  <si>
    <t>c:\Users\19083\Desktop\OneDrive\Desktop\Holobeam\lung_challenge_kit_v6\lung_challenge_kit_v6\data\images\test\LIDC-IDRI-0210.png</t>
  </si>
  <si>
    <t>c:\Users\19083\Desktop\OneDrive\Desktop\Holobeam\lung_challenge_kit_v6\lung_challenge_kit_v6\data\images\test\LIDC-IDRI-0212.png</t>
  </si>
  <si>
    <t>c:\Users\19083\Desktop\OneDrive\Desktop\Holobeam\lung_challenge_kit_v6\lung_challenge_kit_v6\data\images\test\LIDC-IDRI-0231.png</t>
  </si>
  <si>
    <t>c:\Users\19083\Desktop\OneDrive\Desktop\Holobeam\lung_challenge_kit_v6\lung_challenge_kit_v6\data\images\test\LIDC-IDRI-0248.png</t>
  </si>
  <si>
    <t>c:\Users\19083\Desktop\OneDrive\Desktop\Holobeam\lung_challenge_kit_v6\lung_challenge_kit_v6\data\images\test\LIDC-IDRI-0270.png</t>
  </si>
  <si>
    <t>c:\Users\19083\Desktop\OneDrive\Desktop\Holobeam\lung_challenge_kit_v6\lung_challenge_kit_v6\data\images\test\LIDC-IDRI-0289.png</t>
  </si>
  <si>
    <t>c:\Users\19083\Desktop\OneDrive\Desktop\Holobeam\lung_challenge_kit_v6\lung_challenge_kit_v6\data\images\test\LIDC-IDRI-0295.png</t>
  </si>
  <si>
    <t>c:\Users\19083\Desktop\OneDrive\Desktop\Holobeam\lung_challenge_kit_v6\lung_challenge_kit_v6\data\images\test\LIDC-IDRI-0297.png</t>
  </si>
  <si>
    <t>c:\Users\19083\Desktop\OneDrive\Desktop\Holobeam\lung_challenge_kit_v6\lung_challenge_kit_v6\data\images\test\LIDC-IDRI-0299.png</t>
  </si>
  <si>
    <t>c:\Users\19083\Desktop\OneDrive\Desktop\Holobeam\lung_challenge_kit_v6\lung_challenge_kit_v6\data\images\test\LIDC-IDRI-0324.png</t>
  </si>
  <si>
    <t>c:\Users\19083\Desktop\OneDrive\Desktop\Holobeam\lung_challenge_kit_v6\lung_challenge_kit_v6\data\images\test\LIDC-IDRI-0349.png</t>
  </si>
  <si>
    <t>c:\Users\19083\Desktop\OneDrive\Desktop\Holobeam\lung_challenge_kit_v6\lung_challenge_kit_v6\data\images\test\LIDC-IDRI-0376.png</t>
  </si>
  <si>
    <t>c:\Users\19083\Desktop\OneDrive\Desktop\Holobeam\lung_challenge_kit_v6\lung_challenge_kit_v6\data\images\test\LIDC-IDRI-0385.png</t>
  </si>
  <si>
    <t>c:\Users\19083\Desktop\OneDrive\Desktop\Holobeam\lung_challenge_kit_v6\lung_challenge_kit_v6\data\images\test\LIDC-IDRI-0406.png</t>
  </si>
  <si>
    <t>c:\Users\19083\Desktop\OneDrive\Desktop\Holobeam\lung_challenge_kit_v6\lung_challenge_kit_v6\data\images\test\LIDC-IDRI-0429.png</t>
  </si>
  <si>
    <t>c:\Users\19083\Desktop\OneDrive\Desktop\Holobeam\lung_challenge_kit_v6\lung_challenge_kit_v6\data\images\test\LIDC-IDRI-0458.png</t>
  </si>
  <si>
    <t>c:\Users\19083\Desktop\OneDrive\Desktop\Holobeam\lung_challenge_kit_v6\lung_challenge_kit_v6\data\images\test\LIDC-IDRI-0460.png</t>
  </si>
  <si>
    <t>c:\Users\19083\Desktop\OneDrive\Desktop\Holobeam\lung_challenge_kit_v6\lung_challenge_kit_v6\data\images\test\LIDC-IDRI-0473.png</t>
  </si>
  <si>
    <t>c:\Users\19083\Desktop\OneDrive\Desktop\Holobeam\lung_challenge_kit_v6\lung_challenge_kit_v6\data\images\test\LIDC-IDRI-0474.png</t>
  </si>
  <si>
    <t>c:\Users\19083\Desktop\OneDrive\Desktop\Holobeam\lung_challenge_kit_v6\lung_challenge_kit_v6\data\images\test\LIDC-IDRI-0506.png</t>
  </si>
  <si>
    <t>c:\Users\19083\Desktop\OneDrive\Desktop\Holobeam\lung_challenge_kit_v6\lung_challenge_kit_v6\data\images\test\LIDC-IDRI-0521.png</t>
  </si>
  <si>
    <t>c:\Users\19083\Desktop\OneDrive\Desktop\Holobeam\lung_challenge_kit_v6\lung_challenge_kit_v6\data\images\test\LIDC-IDRI-0536.png</t>
  </si>
  <si>
    <t>c:\Users\19083\Desktop\OneDrive\Desktop\Holobeam\lung_challenge_kit_v6\lung_challenge_kit_v6\data\images\test\LIDC-IDRI-0605.png</t>
  </si>
  <si>
    <t>c:\Users\19083\Desktop\OneDrive\Desktop\Holobeam\lung_challenge_kit_v6\lung_challenge_kit_v6\data\images\test\LIDC-IDRI-0608.png</t>
  </si>
  <si>
    <t>c:\Users\19083\Desktop\OneDrive\Desktop\Holobeam\lung_challenge_kit_v6\lung_challenge_kit_v6\data\images\test\LIDC-IDRI-0622.png</t>
  </si>
  <si>
    <t>c:\Users\19083\Desktop\OneDrive\Desktop\Holobeam\lung_challenge_kit_v6\lung_challenge_kit_v6\data\images\test\LIDC-IDRI-0636.png</t>
  </si>
  <si>
    <t>c:\Users\19083\Desktop\OneDrive\Desktop\Holobeam\lung_challenge_kit_v6\lung_challenge_kit_v6\data\images\test\LIDC-IDRI-0646.png</t>
  </si>
  <si>
    <t>c:\Users\19083\Desktop\OneDrive\Desktop\Holobeam\lung_challenge_kit_v6\lung_challenge_kit_v6\data\images\test\LIDC-IDRI-0654.png</t>
  </si>
  <si>
    <t>c:\Users\19083\Desktop\OneDrive\Desktop\Holobeam\lung_challenge_kit_v6\lung_challenge_kit_v6\data\images\test\LIDC-IDRI-0662.png</t>
  </si>
  <si>
    <t>c:\Users\19083\Desktop\OneDrive\Desktop\Holobeam\lung_challenge_kit_v6\lung_challenge_kit_v6\data\images\test\LIDC-IDRI-0675.png</t>
  </si>
  <si>
    <t>c:\Users\19083\Desktop\OneDrive\Desktop\Holobeam\lung_challenge_kit_v6\lung_challenge_kit_v6\data\images\test\LIDC-IDRI-0700.png</t>
  </si>
  <si>
    <t>c:\Users\19083\Desktop\OneDrive\Desktop\Holobeam\lung_challenge_kit_v6\lung_challenge_kit_v6\data\images\test\LIDC-IDRI-0756.png</t>
  </si>
  <si>
    <t>c:\Users\19083\Desktop\OneDrive\Desktop\Holobeam\lung_challenge_kit_v6\lung_challenge_kit_v6\data\images\test\LIDC-IDRI-0765.png</t>
  </si>
  <si>
    <t>c:\Users\19083\Desktop\OneDrive\Desktop\Holobeam\lung_challenge_kit_v6\lung_challenge_kit_v6\data\images\test\LIDC-IDRI-0775.png</t>
  </si>
  <si>
    <t>c:\Users\19083\Desktop\OneDrive\Desktop\Holobeam\lung_challenge_kit_v6\lung_challenge_kit_v6\data\images\test\LIDC-IDRI-0787.png</t>
  </si>
  <si>
    <t>c:\Users\19083\Desktop\OneDrive\Desktop\Holobeam\lung_challenge_kit_v6\lung_challenge_kit_v6\data\images\test\LIDC-IDRI-0811.png</t>
  </si>
  <si>
    <t>c:\Users\19083\Desktop\OneDrive\Desktop\Holobeam\lung_challenge_kit_v6\lung_challenge_kit_v6\data\images\test\LIDC-IDRI-0841.png</t>
  </si>
  <si>
    <t>c:\Users\19083\Desktop\OneDrive\Desktop\Holobeam\lung_challenge_kit_v6\lung_challenge_kit_v6\data\images\test\LIDC-IDRI-0853.png</t>
  </si>
  <si>
    <t>c:\Users\19083\Desktop\OneDrive\Desktop\Holobeam\lung_challenge_kit_v6\lung_challenge_kit_v6\data\images\test\LIDC-IDRI-0891.png</t>
  </si>
  <si>
    <t>Baseline: Per-image, per-lung IoU  on `test`</t>
  </si>
  <si>
    <r>
      <rPr>
        <b/>
        <sz val="11"/>
        <color theme="1"/>
        <rFont val="Calibri"/>
        <family val="2"/>
        <scheme val="minor"/>
      </rPr>
      <t>Baseline: IoU Values</t>
    </r>
    <r>
      <rPr>
        <sz val="11"/>
        <color theme="1"/>
        <rFont val="Calibri"/>
        <family val="2"/>
        <scheme val="minor"/>
      </rPr>
      <t xml:space="preserve">
Right lung mean: 0.9021822437865988
Right lung median: 0.903197362367735
Left lung mean: 0.880650451788208
Left lung median: 0.8940448239060832
Overall mean: 0.8914163477874033
Overall median: 0.8992203494141567</t>
    </r>
  </si>
  <si>
    <t>Baseline: Per-image, per-lung Oracle IoU  on `test`</t>
  </si>
  <si>
    <t>LIDC-IDRI-0056.png</t>
  </si>
  <si>
    <t>LIDC-IDRI-0065.png</t>
  </si>
  <si>
    <t>LIDC-IDRI-0087.png</t>
  </si>
  <si>
    <t>LIDC-IDRI-0143.png</t>
  </si>
  <si>
    <t>LIDC-IDRI-0144.png</t>
  </si>
  <si>
    <t>LIDC-IDRI-0194.png</t>
  </si>
  <si>
    <t>LIDC-IDRI-0210.png</t>
  </si>
  <si>
    <t>LIDC-IDRI-0212.png</t>
  </si>
  <si>
    <t>LIDC-IDRI-0231.png</t>
  </si>
  <si>
    <t>LIDC-IDRI-0248.png</t>
  </si>
  <si>
    <t>LIDC-IDRI-0270.png</t>
  </si>
  <si>
    <t>LIDC-IDRI-0289.png</t>
  </si>
  <si>
    <t>LIDC-IDRI-0295.png</t>
  </si>
  <si>
    <t>LIDC-IDRI-0297.png</t>
  </si>
  <si>
    <t>LIDC-IDRI-0299.png</t>
  </si>
  <si>
    <t>LIDC-IDRI-0324.png</t>
  </si>
  <si>
    <t>LIDC-IDRI-0349.png</t>
  </si>
  <si>
    <t>LIDC-IDRI-0376.png</t>
  </si>
  <si>
    <t>LIDC-IDRI-0385.png</t>
  </si>
  <si>
    <t>LIDC-IDRI-0406.png</t>
  </si>
  <si>
    <t>LIDC-IDRI-0429.png</t>
  </si>
  <si>
    <t>LIDC-IDRI-0458.png</t>
  </si>
  <si>
    <t>LIDC-IDRI-0460.png</t>
  </si>
  <si>
    <t>LIDC-IDRI-0473.png</t>
  </si>
  <si>
    <t>LIDC-IDRI-0474.png</t>
  </si>
  <si>
    <t>LIDC-IDRI-0506.png</t>
  </si>
  <si>
    <t>LIDC-IDRI-0521.png</t>
  </si>
  <si>
    <t>LIDC-IDRI-0536.png</t>
  </si>
  <si>
    <t>LIDC-IDRI-0605.png</t>
  </si>
  <si>
    <t>LIDC-IDRI-0608.png</t>
  </si>
  <si>
    <t>LIDC-IDRI-0622.png</t>
  </si>
  <si>
    <t>LIDC-IDRI-0636.png</t>
  </si>
  <si>
    <t>LIDC-IDRI-0646.png</t>
  </si>
  <si>
    <t>LIDC-IDRI-0654.png</t>
  </si>
  <si>
    <t>LIDC-IDRI-0662.png</t>
  </si>
  <si>
    <t>LIDC-IDRI-0675.png</t>
  </si>
  <si>
    <t>LIDC-IDRI-0700.png</t>
  </si>
  <si>
    <t>LIDC-IDRI-0756.png</t>
  </si>
  <si>
    <t>LIDC-IDRI-0765.png</t>
  </si>
  <si>
    <t>LIDC-IDRI-0775.png</t>
  </si>
  <si>
    <t>LIDC-IDRI-0787.png</t>
  </si>
  <si>
    <t>LIDC-IDRI-0811.png</t>
  </si>
  <si>
    <t>LIDC-IDRI-0841.png</t>
  </si>
  <si>
    <t>LIDC-IDRI-0853.png</t>
  </si>
  <si>
    <t>LIDC-IDRI-0891.png</t>
  </si>
  <si>
    <t>Oracle IoU</t>
  </si>
  <si>
    <r>
      <rPr>
        <b/>
        <sz val="11"/>
        <color theme="1"/>
        <rFont val="Calibri"/>
        <family val="2"/>
        <scheme val="minor"/>
      </rPr>
      <t>Baseline: Oracle IoU Values</t>
    </r>
    <r>
      <rPr>
        <sz val="11"/>
        <color theme="1"/>
        <rFont val="Calibri"/>
        <family val="2"/>
        <scheme val="minor"/>
      </rPr>
      <t xml:space="preserve">
Right lung mean: 0.9006752232066034
Right lung median: 0.9031615251963978
Left lung mean: 0.8802296338230039
Left lung median: 0.8950821265429099
Overall mean: 0.8904524285148037
Overall median: 0.8990552473281942</t>
    </r>
  </si>
  <si>
    <r>
      <rPr>
        <b/>
        <sz val="11"/>
        <color theme="1"/>
        <rFont val="Calibri"/>
        <family val="2"/>
        <scheme val="minor"/>
      </rPr>
      <t>IoU Distribution</t>
    </r>
    <r>
      <rPr>
        <sz val="11"/>
        <color theme="1"/>
        <rFont val="Calibri"/>
        <family val="2"/>
        <scheme val="minor"/>
      </rPr>
      <t xml:space="preserve">
=================
IoU &gt;= 0.90: 63
IoU 0.80-0.90: 25
IoU 0.70-0.80: 2 
IoU &lt; 0.70: 0</t>
    </r>
  </si>
  <si>
    <r>
      <rPr>
        <b/>
        <sz val="11"/>
        <color theme="1"/>
        <rFont val="Calibri"/>
        <family val="2"/>
        <scheme val="minor"/>
      </rPr>
      <t>10 WORST CASES</t>
    </r>
    <r>
      <rPr>
        <sz val="11"/>
        <color theme="1"/>
        <rFont val="Calibri"/>
        <family val="2"/>
        <scheme val="minor"/>
      </rPr>
      <t xml:space="preserve">
==============
LIDC-IDRI-0756 | left | IoU: 0.7317 | Detected: True
LIDC-IDRI-0295 | left | IoU: 0.7978 | Detected: True
LIDC-IDRI-0646 | left | IoU: 0.812 | Detected: True
LIDC-IDRI-0144 | left | IoU: 0.8181 | Detected: True
LIDC-IDRI-0636 | left | IoU: 0.8484 | Detected: True
LIDC-IDRI-0787 | right | IoU: 0.8562 | Detected: True
LIDC-IDRI-0891 | left | IoU: 0.8607 | Detected: True
LIDC-IDRI-0654 | left | IoU: 0.8698 | Detected: True
LIDC-IDRI-0297 | left | IoU: 0.8736 | Detected: True 
LIDC-IDRI-0636 | right | IoU: 0.8793 | Detected: True</t>
    </r>
  </si>
  <si>
    <r>
      <t xml:space="preserve">Configuration: </t>
    </r>
    <r>
      <rPr>
        <sz val="11"/>
        <color theme="1"/>
        <rFont val="Calibri"/>
        <family val="2"/>
        <scheme val="minor"/>
      </rPr>
      <t>Edit mask decoder with AdamW and learning rate of 1e-5</t>
    </r>
  </si>
  <si>
    <r>
      <rPr>
        <b/>
        <sz val="11"/>
        <color theme="1"/>
        <rFont val="Calibri"/>
        <family val="2"/>
        <scheme val="minor"/>
      </rPr>
      <t xml:space="preserve">Final Test Case </t>
    </r>
    <r>
      <rPr>
        <sz val="11"/>
        <color theme="1"/>
        <rFont val="Calibri"/>
        <family val="2"/>
        <scheme val="minor"/>
      </rPr>
      <t xml:space="preserve">
Total lung cases: 90
Missed lungs: 0
Overall mean IoU: 0.9090321974949248
Overall mean IoU (with YOLO):  0.8914163477874033
Overall mean IoU (with Oracle): 0.8904524285148037
Overall median IoU: 0.9179548563861073
Overall minimum IoU: 0.7317369197966213
Overall maximum IoU: 0.9611340036261744
RIGHT LUNG
----------
Mean: 0.9198337437876374
Median: 0.9219599929812248
LEFT LUNG
---------
Mean: 0.8982306512022121
Median: 0.9061892960010718</t>
    </r>
  </si>
  <si>
    <t>Ten worst-performing test cases showing the input X-ray with YOLO bounding boxes, fine-tuned SAM segmentation, and corresponding ground-truth lung masks, ranked by IoU.</t>
  </si>
  <si>
    <t>One improvement I would investigate first is changing the number of training epochs used to fine tune the SAM mask decoder. I would prioritize this over changing the optimizer, learning rate, loss function, or additional SAM components because the current experiment already established that the fine tuning approach can improve segmentation performance, and changing the number of epochs would allow me to further evaluate this same approach without introducing another model or training method. The current model was trained for 5 epochs, which produced an improvement in mean IoU from 0.891 for the baseline to 0.909 after fine tuning. However, the limited computational resources prevented me from determining whether 5 epochs was the optimal training duration. I would use the validation set to evaluate additional epoch counts and select the number of epochs that produces the best validation IoU without overfitting. This could determine whether allowing the mask decoder to train for more or fewer epochs would further improve segmentation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</si>
</sst>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xf numFmtId="0" fontId="0" fillId="0" borderId="0" xfId="0" applyAlignment="1">
      <alignment vertical="center"/>
    </xf>
    <xf numFmtId="0" fontId="0" fillId="0" borderId="0" xfId="0" applyAlignment="1">
      <alignment horizontal="left" vertical="top"/>
    </xf>
    <xf numFmtId="0" fontId="0" fillId="0" borderId="0" xfId="0" applyAlignment="1">
      <alignment vertical="top"/>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0" xfId="0" applyFill="1" applyBorder="1" applyAlignment="1">
      <alignment horizontal="center" vertical="center" wrapText="1"/>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533424</xdr:colOff>
      <xdr:row>1</xdr:row>
      <xdr:rowOff>190103</xdr:rowOff>
    </xdr:from>
    <xdr:to>
      <xdr:col>24</xdr:col>
      <xdr:colOff>507090</xdr:colOff>
      <xdr:row>43</xdr:row>
      <xdr:rowOff>141679</xdr:rowOff>
    </xdr:to>
    <xdr:pic>
      <xdr:nvPicPr>
        <xdr:cNvPr id="2" name="Picture 1">
          <a:extLst>
            <a:ext uri="{FF2B5EF4-FFF2-40B4-BE49-F238E27FC236}">
              <a16:creationId xmlns:a16="http://schemas.microsoft.com/office/drawing/2014/main" id="{846CB7DF-8E47-C8B7-62B7-2F358F76272A}"/>
            </a:ext>
          </a:extLst>
        </xdr:cNvPr>
        <xdr:cNvPicPr>
          <a:picLocks noChangeAspect="1"/>
        </xdr:cNvPicPr>
      </xdr:nvPicPr>
      <xdr:blipFill>
        <a:blip xmlns:r="http://schemas.openxmlformats.org/officeDocument/2006/relationships" r:embed="rId1"/>
        <a:stretch>
          <a:fillRect/>
        </a:stretch>
      </xdr:blipFill>
      <xdr:spPr>
        <a:xfrm>
          <a:off x="12725424" y="380603"/>
          <a:ext cx="2412066" cy="795257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6547B6-E4A4-460B-A48A-B355809517E1}" name="Table2" displayName="Table2" ref="B3:D93" totalsRowShown="0">
  <autoFilter ref="B3:D93" xr:uid="{256547B6-E4A4-460B-A48A-B355809517E1}"/>
  <tableColumns count="3">
    <tableColumn id="1" xr3:uid="{DC80F177-B217-477D-B1F4-AF846EACB362}" name="Image">
      <calculatedColumnFormula>_xlfn.TEXTAFTER(A4,"\",-1)</calculatedColumnFormula>
    </tableColumn>
    <tableColumn id="2" xr3:uid="{FAF1B454-2035-48A3-A57F-06166D8CE022}" name="Lung"/>
    <tableColumn id="3" xr3:uid="{B4CC9B9C-DF85-4AD9-9A70-4A1B228B3F9C}" name="IoU"/>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6EAD43-F22F-42FF-9963-F1F4BD0AC147}" name="Table3" displayName="Table3" ref="L3:N93" totalsRowShown="0">
  <autoFilter ref="L3:N93" xr:uid="{6C6EAD43-F22F-42FF-9963-F1F4BD0AC147}"/>
  <tableColumns count="3">
    <tableColumn id="1" xr3:uid="{276137B9-5A08-429B-8BD0-783A35FC30F5}" name="Image"/>
    <tableColumn id="2" xr3:uid="{749AA4AC-D15A-4CB5-B803-57041E1AF224}" name="Lung"/>
    <tableColumn id="3" xr3:uid="{29A2621B-08C4-42B6-AD8D-DB0F6D19AEF8}" name="Oracle IoU"/>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3"/>
  <sheetViews>
    <sheetView topLeftCell="B1" zoomScaleNormal="100" workbookViewId="0">
      <selection activeCell="L12" sqref="L12"/>
    </sheetView>
  </sheetViews>
  <sheetFormatPr defaultRowHeight="15" x14ac:dyDescent="0.25"/>
  <cols>
    <col min="1" max="1" width="37.5703125" hidden="1" customWidth="1"/>
    <col min="2" max="2" width="19.42578125" customWidth="1"/>
    <col min="11" max="11" width="10.28515625" customWidth="1"/>
    <col min="12" max="12" width="27.42578125" customWidth="1"/>
    <col min="14" max="14" width="12.140625" customWidth="1"/>
  </cols>
  <sheetData>
    <row r="1" spans="1:20" x14ac:dyDescent="0.25">
      <c r="B1" s="1" t="s">
        <v>50</v>
      </c>
      <c r="C1" s="1"/>
      <c r="D1" s="1"/>
      <c r="F1" s="3"/>
      <c r="G1" s="3"/>
      <c r="H1" s="3"/>
      <c r="I1" s="3"/>
      <c r="L1" s="1" t="s">
        <v>52</v>
      </c>
      <c r="M1" s="1"/>
      <c r="N1" s="1"/>
    </row>
    <row r="2" spans="1:20" x14ac:dyDescent="0.25">
      <c r="B2" s="1"/>
      <c r="C2" s="1"/>
      <c r="D2" s="1"/>
      <c r="F2" s="3"/>
      <c r="G2" s="3"/>
      <c r="H2" s="3"/>
      <c r="I2" s="3"/>
      <c r="L2" s="1"/>
      <c r="M2" s="1"/>
      <c r="N2" s="1"/>
    </row>
    <row r="3" spans="1:20" x14ac:dyDescent="0.25">
      <c r="A3" t="s">
        <v>0</v>
      </c>
      <c r="B3" t="s">
        <v>0</v>
      </c>
      <c r="C3" t="s">
        <v>1</v>
      </c>
      <c r="D3" t="s">
        <v>2</v>
      </c>
      <c r="F3" s="7" t="s">
        <v>51</v>
      </c>
      <c r="G3" s="8"/>
      <c r="H3" s="8"/>
      <c r="I3" s="8"/>
      <c r="J3" s="9"/>
      <c r="L3" t="s">
        <v>0</v>
      </c>
      <c r="M3" t="s">
        <v>1</v>
      </c>
      <c r="N3" t="s">
        <v>98</v>
      </c>
      <c r="P3" s="7" t="s">
        <v>99</v>
      </c>
      <c r="Q3" s="8"/>
      <c r="R3" s="8"/>
      <c r="S3" s="8"/>
      <c r="T3" s="9"/>
    </row>
    <row r="4" spans="1:20" x14ac:dyDescent="0.25">
      <c r="A4" t="s">
        <v>3</v>
      </c>
      <c r="B4" t="str">
        <f>_xlfn.TEXTAFTER(A4,"\",-1)</f>
        <v>LIDC-IDRI-0056.png</v>
      </c>
      <c r="C4" t="s">
        <v>4</v>
      </c>
      <c r="D4">
        <v>0.91861111111111116</v>
      </c>
      <c r="F4" s="10"/>
      <c r="G4" s="11"/>
      <c r="H4" s="11"/>
      <c r="I4" s="11"/>
      <c r="J4" s="12"/>
      <c r="L4" t="s">
        <v>53</v>
      </c>
      <c r="M4" t="s">
        <v>4</v>
      </c>
      <c r="N4">
        <v>0.89077238550000004</v>
      </c>
      <c r="P4" s="10"/>
      <c r="Q4" s="11"/>
      <c r="R4" s="11"/>
      <c r="S4" s="11"/>
      <c r="T4" s="12"/>
    </row>
    <row r="5" spans="1:20" x14ac:dyDescent="0.25">
      <c r="A5" t="s">
        <v>3</v>
      </c>
      <c r="B5" t="str">
        <f>_xlfn.TEXTAFTER(A5,"\",-1)</f>
        <v>LIDC-IDRI-0056.png</v>
      </c>
      <c r="C5" t="s">
        <v>5</v>
      </c>
      <c r="D5">
        <v>0.89724344978165937</v>
      </c>
      <c r="F5" s="10"/>
      <c r="G5" s="11"/>
      <c r="H5" s="11"/>
      <c r="I5" s="11"/>
      <c r="J5" s="12"/>
      <c r="L5" t="s">
        <v>53</v>
      </c>
      <c r="M5" t="s">
        <v>5</v>
      </c>
      <c r="N5">
        <v>0.91622162880000002</v>
      </c>
      <c r="P5" s="10"/>
      <c r="Q5" s="11"/>
      <c r="R5" s="11"/>
      <c r="S5" s="11"/>
      <c r="T5" s="12"/>
    </row>
    <row r="6" spans="1:20" x14ac:dyDescent="0.25">
      <c r="A6" t="s">
        <v>6</v>
      </c>
      <c r="B6" t="str">
        <f>_xlfn.TEXTAFTER(A6,"\",-1)</f>
        <v>LIDC-IDRI-0065.png</v>
      </c>
      <c r="C6" t="s">
        <v>5</v>
      </c>
      <c r="D6">
        <v>0.8332938762626263</v>
      </c>
      <c r="F6" s="10"/>
      <c r="G6" s="11"/>
      <c r="H6" s="11"/>
      <c r="I6" s="11"/>
      <c r="J6" s="12"/>
      <c r="L6" t="s">
        <v>54</v>
      </c>
      <c r="M6" t="s">
        <v>5</v>
      </c>
      <c r="N6">
        <v>0.83443734719999996</v>
      </c>
      <c r="P6" s="10"/>
      <c r="Q6" s="11"/>
      <c r="R6" s="11"/>
      <c r="S6" s="11"/>
      <c r="T6" s="12"/>
    </row>
    <row r="7" spans="1:20" x14ac:dyDescent="0.25">
      <c r="A7" t="s">
        <v>6</v>
      </c>
      <c r="B7" t="str">
        <f>_xlfn.TEXTAFTER(A7,"\",-1)</f>
        <v>LIDC-IDRI-0065.png</v>
      </c>
      <c r="C7" t="s">
        <v>4</v>
      </c>
      <c r="D7">
        <v>0.90843949044585992</v>
      </c>
      <c r="F7" s="10"/>
      <c r="G7" s="11"/>
      <c r="H7" s="11"/>
      <c r="I7" s="11"/>
      <c r="J7" s="12"/>
      <c r="L7" t="s">
        <v>54</v>
      </c>
      <c r="M7" t="s">
        <v>4</v>
      </c>
      <c r="N7">
        <v>0.91471226640000003</v>
      </c>
      <c r="P7" s="10"/>
      <c r="Q7" s="11"/>
      <c r="R7" s="11"/>
      <c r="S7" s="11"/>
      <c r="T7" s="12"/>
    </row>
    <row r="8" spans="1:20" x14ac:dyDescent="0.25">
      <c r="A8" t="s">
        <v>7</v>
      </c>
      <c r="B8" t="str">
        <f>_xlfn.TEXTAFTER(A8,"\",-1)</f>
        <v>LIDC-IDRI-0087.png</v>
      </c>
      <c r="C8" t="s">
        <v>5</v>
      </c>
      <c r="D8">
        <v>0.95179895633067835</v>
      </c>
      <c r="F8" s="10"/>
      <c r="G8" s="11"/>
      <c r="H8" s="11"/>
      <c r="I8" s="11"/>
      <c r="J8" s="12"/>
      <c r="L8" t="s">
        <v>55</v>
      </c>
      <c r="M8" t="s">
        <v>5</v>
      </c>
      <c r="N8">
        <v>0.95066648340000004</v>
      </c>
      <c r="P8" s="10"/>
      <c r="Q8" s="11"/>
      <c r="R8" s="11"/>
      <c r="S8" s="11"/>
      <c r="T8" s="12"/>
    </row>
    <row r="9" spans="1:20" x14ac:dyDescent="0.25">
      <c r="A9" t="s">
        <v>7</v>
      </c>
      <c r="B9" t="str">
        <f>_xlfn.TEXTAFTER(A9,"\",-1)</f>
        <v>LIDC-IDRI-0087.png</v>
      </c>
      <c r="C9" t="s">
        <v>4</v>
      </c>
      <c r="D9">
        <v>0.86279428791972212</v>
      </c>
      <c r="F9" s="10"/>
      <c r="G9" s="11"/>
      <c r="H9" s="11"/>
      <c r="I9" s="11"/>
      <c r="J9" s="12"/>
      <c r="L9" t="s">
        <v>55</v>
      </c>
      <c r="M9" t="s">
        <v>4</v>
      </c>
      <c r="N9">
        <v>0.86055187499999997</v>
      </c>
      <c r="P9" s="10"/>
      <c r="Q9" s="11"/>
      <c r="R9" s="11"/>
      <c r="S9" s="11"/>
      <c r="T9" s="12"/>
    </row>
    <row r="10" spans="1:20" x14ac:dyDescent="0.25">
      <c r="A10" t="s">
        <v>8</v>
      </c>
      <c r="B10" t="str">
        <f>_xlfn.TEXTAFTER(A10,"\",-1)</f>
        <v>LIDC-IDRI-0143.png</v>
      </c>
      <c r="C10" t="s">
        <v>4</v>
      </c>
      <c r="D10">
        <v>0.93737410730635418</v>
      </c>
      <c r="F10" s="13"/>
      <c r="G10" s="14"/>
      <c r="H10" s="14"/>
      <c r="I10" s="14"/>
      <c r="J10" s="15"/>
      <c r="L10" t="s">
        <v>56</v>
      </c>
      <c r="M10" t="s">
        <v>4</v>
      </c>
      <c r="N10">
        <v>0.94373478020000001</v>
      </c>
      <c r="P10" s="13"/>
      <c r="Q10" s="14"/>
      <c r="R10" s="14"/>
      <c r="S10" s="14"/>
      <c r="T10" s="15"/>
    </row>
    <row r="11" spans="1:20" x14ac:dyDescent="0.25">
      <c r="A11" t="s">
        <v>8</v>
      </c>
      <c r="B11" t="str">
        <f>_xlfn.TEXTAFTER(A11,"\",-1)</f>
        <v>LIDC-IDRI-0143.png</v>
      </c>
      <c r="C11" t="s">
        <v>5</v>
      </c>
      <c r="D11">
        <v>0.94957410562180578</v>
      </c>
      <c r="L11" t="s">
        <v>56</v>
      </c>
      <c r="M11" t="s">
        <v>5</v>
      </c>
      <c r="N11">
        <v>0.93644482510000004</v>
      </c>
    </row>
    <row r="12" spans="1:20" x14ac:dyDescent="0.25">
      <c r="A12" t="s">
        <v>9</v>
      </c>
      <c r="B12" t="str">
        <f>_xlfn.TEXTAFTER(A12,"\",-1)</f>
        <v>LIDC-IDRI-0144.png</v>
      </c>
      <c r="C12" t="s">
        <v>4</v>
      </c>
      <c r="D12">
        <v>0.73480350579587217</v>
      </c>
      <c r="L12" t="s">
        <v>57</v>
      </c>
      <c r="M12" t="s">
        <v>4</v>
      </c>
      <c r="N12">
        <v>0.89263990270000004</v>
      </c>
    </row>
    <row r="13" spans="1:20" x14ac:dyDescent="0.25">
      <c r="A13" t="s">
        <v>9</v>
      </c>
      <c r="B13" t="str">
        <f>_xlfn.TEXTAFTER(A13,"\",-1)</f>
        <v>LIDC-IDRI-0144.png</v>
      </c>
      <c r="C13" t="s">
        <v>5</v>
      </c>
      <c r="D13">
        <v>0.89340275138709435</v>
      </c>
      <c r="L13" t="s">
        <v>57</v>
      </c>
      <c r="M13" t="s">
        <v>5</v>
      </c>
      <c r="N13">
        <v>0.74529000410000001</v>
      </c>
    </row>
    <row r="14" spans="1:20" x14ac:dyDescent="0.25">
      <c r="A14" t="s">
        <v>10</v>
      </c>
      <c r="B14" t="str">
        <f>_xlfn.TEXTAFTER(A14,"\",-1)</f>
        <v>LIDC-IDRI-0194.png</v>
      </c>
      <c r="C14" t="s">
        <v>4</v>
      </c>
      <c r="D14">
        <v>0.93812667112299464</v>
      </c>
      <c r="L14" t="s">
        <v>58</v>
      </c>
      <c r="M14" t="s">
        <v>4</v>
      </c>
      <c r="N14">
        <v>0.91216194640000003</v>
      </c>
    </row>
    <row r="15" spans="1:20" x14ac:dyDescent="0.25">
      <c r="A15" t="s">
        <v>10</v>
      </c>
      <c r="B15" t="str">
        <f>_xlfn.TEXTAFTER(A15,"\",-1)</f>
        <v>LIDC-IDRI-0194.png</v>
      </c>
      <c r="C15" t="s">
        <v>5</v>
      </c>
      <c r="D15">
        <v>0.91193281604240506</v>
      </c>
      <c r="L15" t="s">
        <v>58</v>
      </c>
      <c r="M15" t="s">
        <v>5</v>
      </c>
      <c r="N15">
        <v>0.93835616440000003</v>
      </c>
    </row>
    <row r="16" spans="1:20" x14ac:dyDescent="0.25">
      <c r="A16" t="s">
        <v>11</v>
      </c>
      <c r="B16" t="str">
        <f>_xlfn.TEXTAFTER(A16,"\",-1)</f>
        <v>LIDC-IDRI-0210.png</v>
      </c>
      <c r="C16" t="s">
        <v>5</v>
      </c>
      <c r="D16">
        <v>0.85481034915850285</v>
      </c>
      <c r="L16" t="s">
        <v>59</v>
      </c>
      <c r="M16" t="s">
        <v>5</v>
      </c>
      <c r="N16">
        <v>0.84942860730000003</v>
      </c>
    </row>
    <row r="17" spans="1:14" x14ac:dyDescent="0.25">
      <c r="A17" t="s">
        <v>11</v>
      </c>
      <c r="B17" t="str">
        <f>_xlfn.TEXTAFTER(A17,"\",-1)</f>
        <v>LIDC-IDRI-0210.png</v>
      </c>
      <c r="C17" t="s">
        <v>4</v>
      </c>
      <c r="D17">
        <v>0.88741130091984233</v>
      </c>
      <c r="L17" t="s">
        <v>59</v>
      </c>
      <c r="M17" t="s">
        <v>4</v>
      </c>
      <c r="N17">
        <v>0.88749934320000001</v>
      </c>
    </row>
    <row r="18" spans="1:14" x14ac:dyDescent="0.25">
      <c r="A18" t="s">
        <v>12</v>
      </c>
      <c r="B18" t="str">
        <f>_xlfn.TEXTAFTER(A18,"\",-1)</f>
        <v>LIDC-IDRI-0212.png</v>
      </c>
      <c r="C18" t="s">
        <v>4</v>
      </c>
      <c r="D18">
        <v>0.9256318144576795</v>
      </c>
      <c r="L18" t="s">
        <v>60</v>
      </c>
      <c r="M18" t="s">
        <v>4</v>
      </c>
      <c r="N18">
        <v>0.91480438559999999</v>
      </c>
    </row>
    <row r="19" spans="1:14" x14ac:dyDescent="0.25">
      <c r="A19" t="s">
        <v>12</v>
      </c>
      <c r="B19" t="str">
        <f>_xlfn.TEXTAFTER(A19,"\",-1)</f>
        <v>LIDC-IDRI-0212.png</v>
      </c>
      <c r="C19" t="s">
        <v>5</v>
      </c>
      <c r="D19">
        <v>0.91575289112589131</v>
      </c>
      <c r="L19" t="s">
        <v>60</v>
      </c>
      <c r="M19" t="s">
        <v>5</v>
      </c>
      <c r="N19">
        <v>0.92602394450000003</v>
      </c>
    </row>
    <row r="20" spans="1:14" x14ac:dyDescent="0.25">
      <c r="A20" t="s">
        <v>13</v>
      </c>
      <c r="B20" t="str">
        <f>_xlfn.TEXTAFTER(A20,"\",-1)</f>
        <v>LIDC-IDRI-0231.png</v>
      </c>
      <c r="C20" t="s">
        <v>5</v>
      </c>
      <c r="D20">
        <v>0.8669332848572987</v>
      </c>
      <c r="L20" t="s">
        <v>61</v>
      </c>
      <c r="M20" t="s">
        <v>5</v>
      </c>
      <c r="N20">
        <v>0.86816846820000004</v>
      </c>
    </row>
    <row r="21" spans="1:14" x14ac:dyDescent="0.25">
      <c r="A21" t="s">
        <v>13</v>
      </c>
      <c r="B21" t="str">
        <f>_xlfn.TEXTAFTER(A21,"\",-1)</f>
        <v>LIDC-IDRI-0231.png</v>
      </c>
      <c r="C21" t="s">
        <v>4</v>
      </c>
      <c r="D21">
        <v>0.83415666901905439</v>
      </c>
      <c r="L21" t="s">
        <v>61</v>
      </c>
      <c r="M21" t="s">
        <v>4</v>
      </c>
      <c r="N21">
        <v>0.81007739889999997</v>
      </c>
    </row>
    <row r="22" spans="1:14" x14ac:dyDescent="0.25">
      <c r="A22" t="s">
        <v>14</v>
      </c>
      <c r="B22" t="str">
        <f>_xlfn.TEXTAFTER(A22,"\",-1)</f>
        <v>LIDC-IDRI-0248.png</v>
      </c>
      <c r="C22" t="s">
        <v>4</v>
      </c>
      <c r="D22">
        <v>0.83777654588519879</v>
      </c>
      <c r="L22" t="s">
        <v>62</v>
      </c>
      <c r="M22" t="s">
        <v>4</v>
      </c>
      <c r="N22">
        <v>0.88976083709999998</v>
      </c>
    </row>
    <row r="23" spans="1:14" x14ac:dyDescent="0.25">
      <c r="A23" t="s">
        <v>14</v>
      </c>
      <c r="B23" t="str">
        <f>_xlfn.TEXTAFTER(A23,"\",-1)</f>
        <v>LIDC-IDRI-0248.png</v>
      </c>
      <c r="C23" t="s">
        <v>5</v>
      </c>
      <c r="D23">
        <v>0.88998664886515355</v>
      </c>
      <c r="L23" t="s">
        <v>62</v>
      </c>
      <c r="M23" t="s">
        <v>5</v>
      </c>
      <c r="N23">
        <v>0.87403830849999997</v>
      </c>
    </row>
    <row r="24" spans="1:14" x14ac:dyDescent="0.25">
      <c r="A24" t="s">
        <v>15</v>
      </c>
      <c r="B24" t="str">
        <f>_xlfn.TEXTAFTER(A24,"\",-1)</f>
        <v>LIDC-IDRI-0270.png</v>
      </c>
      <c r="C24" t="s">
        <v>5</v>
      </c>
      <c r="D24">
        <v>0.88934238767108831</v>
      </c>
      <c r="L24" t="s">
        <v>63</v>
      </c>
      <c r="M24" t="s">
        <v>5</v>
      </c>
      <c r="N24">
        <v>0.88921323809999997</v>
      </c>
    </row>
    <row r="25" spans="1:14" x14ac:dyDescent="0.25">
      <c r="A25" t="s">
        <v>15</v>
      </c>
      <c r="B25" t="str">
        <f>_xlfn.TEXTAFTER(A25,"\",-1)</f>
        <v>LIDC-IDRI-0270.png</v>
      </c>
      <c r="C25" t="s">
        <v>4</v>
      </c>
      <c r="D25">
        <v>0.89363880087740677</v>
      </c>
      <c r="L25" t="s">
        <v>63</v>
      </c>
      <c r="M25" t="s">
        <v>4</v>
      </c>
      <c r="N25">
        <v>0.89508212649999996</v>
      </c>
    </row>
    <row r="26" spans="1:14" x14ac:dyDescent="0.25">
      <c r="A26" t="s">
        <v>16</v>
      </c>
      <c r="B26" t="str">
        <f>_xlfn.TEXTAFTER(A26,"\",-1)</f>
        <v>LIDC-IDRI-0289.png</v>
      </c>
      <c r="C26" t="s">
        <v>5</v>
      </c>
      <c r="D26">
        <v>0.94017998941238745</v>
      </c>
      <c r="L26" t="s">
        <v>64</v>
      </c>
      <c r="M26" t="s">
        <v>5</v>
      </c>
      <c r="N26">
        <v>0.94067039480000003</v>
      </c>
    </row>
    <row r="27" spans="1:14" x14ac:dyDescent="0.25">
      <c r="A27" t="s">
        <v>16</v>
      </c>
      <c r="B27" t="str">
        <f>_xlfn.TEXTAFTER(A27,"\",-1)</f>
        <v>LIDC-IDRI-0289.png</v>
      </c>
      <c r="C27" t="s">
        <v>4</v>
      </c>
      <c r="D27">
        <v>0.8940448239060832</v>
      </c>
      <c r="L27" t="s">
        <v>64</v>
      </c>
      <c r="M27" t="s">
        <v>4</v>
      </c>
      <c r="N27">
        <v>0.8949613891</v>
      </c>
    </row>
    <row r="28" spans="1:14" x14ac:dyDescent="0.25">
      <c r="A28" t="s">
        <v>17</v>
      </c>
      <c r="B28" t="str">
        <f>_xlfn.TEXTAFTER(A28,"\",-1)</f>
        <v>LIDC-IDRI-0295.png</v>
      </c>
      <c r="C28" t="s">
        <v>4</v>
      </c>
      <c r="D28">
        <v>0.70878701713017545</v>
      </c>
      <c r="L28" t="s">
        <v>65</v>
      </c>
      <c r="M28" t="s">
        <v>4</v>
      </c>
      <c r="N28">
        <v>0.90874210300000002</v>
      </c>
    </row>
    <row r="29" spans="1:14" x14ac:dyDescent="0.25">
      <c r="A29" t="s">
        <v>17</v>
      </c>
      <c r="B29" t="str">
        <f>_xlfn.TEXTAFTER(A29,"\",-1)</f>
        <v>LIDC-IDRI-0295.png</v>
      </c>
      <c r="C29" t="s">
        <v>5</v>
      </c>
      <c r="D29">
        <v>0.91039141665010925</v>
      </c>
      <c r="L29" t="s">
        <v>65</v>
      </c>
      <c r="M29" t="s">
        <v>5</v>
      </c>
      <c r="N29">
        <v>0.70970097359999995</v>
      </c>
    </row>
    <row r="30" spans="1:14" x14ac:dyDescent="0.25">
      <c r="A30" t="s">
        <v>18</v>
      </c>
      <c r="B30" t="str">
        <f>_xlfn.TEXTAFTER(A30,"\",-1)</f>
        <v>LIDC-IDRI-0297.png</v>
      </c>
      <c r="C30" t="s">
        <v>4</v>
      </c>
      <c r="D30">
        <v>0.88738402915838299</v>
      </c>
      <c r="L30" t="s">
        <v>66</v>
      </c>
      <c r="M30" t="s">
        <v>4</v>
      </c>
      <c r="N30">
        <v>0.91213364770000005</v>
      </c>
    </row>
    <row r="31" spans="1:14" x14ac:dyDescent="0.25">
      <c r="A31" t="s">
        <v>18</v>
      </c>
      <c r="B31" t="str">
        <f>_xlfn.TEXTAFTER(A31,"\",-1)</f>
        <v>LIDC-IDRI-0297.png</v>
      </c>
      <c r="C31" t="s">
        <v>5</v>
      </c>
      <c r="D31">
        <v>0.91687261942837206</v>
      </c>
      <c r="L31" t="s">
        <v>66</v>
      </c>
      <c r="M31" t="s">
        <v>5</v>
      </c>
      <c r="N31">
        <v>0.8822630601</v>
      </c>
    </row>
    <row r="32" spans="1:14" x14ac:dyDescent="0.25">
      <c r="A32" t="s">
        <v>19</v>
      </c>
      <c r="B32" t="str">
        <f>_xlfn.TEXTAFTER(A32,"\",-1)</f>
        <v>LIDC-IDRI-0299.png</v>
      </c>
      <c r="C32" t="s">
        <v>5</v>
      </c>
      <c r="D32">
        <v>0.9077842075788688</v>
      </c>
      <c r="L32" t="s">
        <v>67</v>
      </c>
      <c r="M32" t="s">
        <v>5</v>
      </c>
      <c r="N32">
        <v>0.90850242749999999</v>
      </c>
    </row>
    <row r="33" spans="1:14" x14ac:dyDescent="0.25">
      <c r="A33" t="s">
        <v>19</v>
      </c>
      <c r="B33" t="str">
        <f>_xlfn.TEXTAFTER(A33,"\",-1)</f>
        <v>LIDC-IDRI-0299.png</v>
      </c>
      <c r="C33" t="s">
        <v>4</v>
      </c>
      <c r="D33">
        <v>0.89989548631523941</v>
      </c>
      <c r="L33" t="s">
        <v>67</v>
      </c>
      <c r="M33" t="s">
        <v>4</v>
      </c>
      <c r="N33">
        <v>0.89848776819999998</v>
      </c>
    </row>
    <row r="34" spans="1:14" x14ac:dyDescent="0.25">
      <c r="A34" t="s">
        <v>20</v>
      </c>
      <c r="B34" t="str">
        <f>_xlfn.TEXTAFTER(A34,"\",-1)</f>
        <v>LIDC-IDRI-0324.png</v>
      </c>
      <c r="C34" t="s">
        <v>4</v>
      </c>
      <c r="D34">
        <v>0.88669766810359463</v>
      </c>
      <c r="L34" t="s">
        <v>68</v>
      </c>
      <c r="M34" t="s">
        <v>4</v>
      </c>
      <c r="N34">
        <v>0.89521854420000002</v>
      </c>
    </row>
    <row r="35" spans="1:14" x14ac:dyDescent="0.25">
      <c r="A35" t="s">
        <v>20</v>
      </c>
      <c r="B35" t="str">
        <f>_xlfn.TEXTAFTER(A35,"\",-1)</f>
        <v>LIDC-IDRI-0324.png</v>
      </c>
      <c r="C35" t="s">
        <v>5</v>
      </c>
      <c r="D35">
        <v>0.89610352592423681</v>
      </c>
      <c r="L35" t="s">
        <v>68</v>
      </c>
      <c r="M35" t="s">
        <v>5</v>
      </c>
      <c r="N35">
        <v>0.8884359288</v>
      </c>
    </row>
    <row r="36" spans="1:14" x14ac:dyDescent="0.25">
      <c r="A36" t="s">
        <v>21</v>
      </c>
      <c r="B36" t="str">
        <f>_xlfn.TEXTAFTER(A36,"\",-1)</f>
        <v>LIDC-IDRI-0349.png</v>
      </c>
      <c r="C36" t="s">
        <v>4</v>
      </c>
      <c r="D36">
        <v>0.9208555670149321</v>
      </c>
      <c r="L36" t="s">
        <v>69</v>
      </c>
      <c r="M36" t="s">
        <v>4</v>
      </c>
      <c r="N36">
        <v>0.90168187119999998</v>
      </c>
    </row>
    <row r="37" spans="1:14" x14ac:dyDescent="0.25">
      <c r="A37" t="s">
        <v>21</v>
      </c>
      <c r="B37" t="str">
        <f>_xlfn.TEXTAFTER(A37,"\",-1)</f>
        <v>LIDC-IDRI-0349.png</v>
      </c>
      <c r="C37" t="s">
        <v>5</v>
      </c>
      <c r="D37">
        <v>0.90142000086322238</v>
      </c>
      <c r="L37" t="s">
        <v>69</v>
      </c>
      <c r="M37" t="s">
        <v>5</v>
      </c>
      <c r="N37">
        <v>0.91980389510000005</v>
      </c>
    </row>
    <row r="38" spans="1:14" x14ac:dyDescent="0.25">
      <c r="A38" t="s">
        <v>22</v>
      </c>
      <c r="B38" t="str">
        <f>_xlfn.TEXTAFTER(A38,"\",-1)</f>
        <v>LIDC-IDRI-0376.png</v>
      </c>
      <c r="C38" t="s">
        <v>5</v>
      </c>
      <c r="D38">
        <v>0.94688205164941441</v>
      </c>
      <c r="L38" t="s">
        <v>70</v>
      </c>
      <c r="M38" t="s">
        <v>5</v>
      </c>
      <c r="N38">
        <v>0.94706892850000002</v>
      </c>
    </row>
    <row r="39" spans="1:14" x14ac:dyDescent="0.25">
      <c r="A39" t="s">
        <v>22</v>
      </c>
      <c r="B39" t="str">
        <f>_xlfn.TEXTAFTER(A39,"\",-1)</f>
        <v>LIDC-IDRI-0376.png</v>
      </c>
      <c r="C39" t="s">
        <v>4</v>
      </c>
      <c r="D39">
        <v>0.91803971271651885</v>
      </c>
      <c r="L39" t="s">
        <v>70</v>
      </c>
      <c r="M39" t="s">
        <v>4</v>
      </c>
      <c r="N39">
        <v>0.92110072399999998</v>
      </c>
    </row>
    <row r="40" spans="1:14" x14ac:dyDescent="0.25">
      <c r="A40" t="s">
        <v>23</v>
      </c>
      <c r="B40" t="str">
        <f>_xlfn.TEXTAFTER(A40,"\",-1)</f>
        <v>LIDC-IDRI-0385.png</v>
      </c>
      <c r="C40" t="s">
        <v>4</v>
      </c>
      <c r="D40">
        <v>0.8878193028815905</v>
      </c>
      <c r="L40" t="s">
        <v>71</v>
      </c>
      <c r="M40" t="s">
        <v>4</v>
      </c>
      <c r="N40">
        <v>0.90587121209999999</v>
      </c>
    </row>
    <row r="41" spans="1:14" x14ac:dyDescent="0.25">
      <c r="A41" t="s">
        <v>23</v>
      </c>
      <c r="B41" t="str">
        <f>_xlfn.TEXTAFTER(A41,"\",-1)</f>
        <v>LIDC-IDRI-0385.png</v>
      </c>
      <c r="C41" t="s">
        <v>5</v>
      </c>
      <c r="D41">
        <v>0.90773161729913887</v>
      </c>
      <c r="L41" t="s">
        <v>71</v>
      </c>
      <c r="M41" t="s">
        <v>5</v>
      </c>
      <c r="N41">
        <v>0.89468379939999998</v>
      </c>
    </row>
    <row r="42" spans="1:14" x14ac:dyDescent="0.25">
      <c r="A42" t="s">
        <v>24</v>
      </c>
      <c r="B42" t="str">
        <f>_xlfn.TEXTAFTER(A42,"\",-1)</f>
        <v>LIDC-IDRI-0406.png</v>
      </c>
      <c r="C42" t="s">
        <v>4</v>
      </c>
      <c r="D42">
        <v>0.9001164822364589</v>
      </c>
      <c r="L42" t="s">
        <v>72</v>
      </c>
      <c r="M42" t="s">
        <v>4</v>
      </c>
      <c r="N42">
        <v>0.91768752170000001</v>
      </c>
    </row>
    <row r="43" spans="1:14" x14ac:dyDescent="0.25">
      <c r="A43" t="s">
        <v>24</v>
      </c>
      <c r="B43" t="str">
        <f>_xlfn.TEXTAFTER(A43,"\",-1)</f>
        <v>LIDC-IDRI-0406.png</v>
      </c>
      <c r="C43" t="s">
        <v>5</v>
      </c>
      <c r="D43">
        <v>0.91992889438497505</v>
      </c>
      <c r="L43" t="s">
        <v>72</v>
      </c>
      <c r="M43" t="s">
        <v>5</v>
      </c>
      <c r="N43">
        <v>0.89505642439999999</v>
      </c>
    </row>
    <row r="44" spans="1:14" x14ac:dyDescent="0.25">
      <c r="A44" t="s">
        <v>25</v>
      </c>
      <c r="B44" t="str">
        <f>_xlfn.TEXTAFTER(A44,"\",-1)</f>
        <v>LIDC-IDRI-0429.png</v>
      </c>
      <c r="C44" t="s">
        <v>4</v>
      </c>
      <c r="D44">
        <v>0.88992479333706254</v>
      </c>
      <c r="L44" t="s">
        <v>73</v>
      </c>
      <c r="M44" t="s">
        <v>4</v>
      </c>
      <c r="N44">
        <v>0.948367077</v>
      </c>
    </row>
    <row r="45" spans="1:14" x14ac:dyDescent="0.25">
      <c r="A45" t="s">
        <v>25</v>
      </c>
      <c r="B45" t="str">
        <f>_xlfn.TEXTAFTER(A45,"\",-1)</f>
        <v>LIDC-IDRI-0429.png</v>
      </c>
      <c r="C45" t="s">
        <v>5</v>
      </c>
      <c r="D45">
        <v>0.94700005071765481</v>
      </c>
      <c r="L45" t="s">
        <v>73</v>
      </c>
      <c r="M45" t="s">
        <v>5</v>
      </c>
      <c r="N45">
        <v>0.89023556469999998</v>
      </c>
    </row>
    <row r="46" spans="1:14" x14ac:dyDescent="0.25">
      <c r="A46" t="s">
        <v>26</v>
      </c>
      <c r="B46" t="str">
        <f>_xlfn.TEXTAFTER(A46,"\",-1)</f>
        <v>LIDC-IDRI-0458.png</v>
      </c>
      <c r="C46" t="s">
        <v>5</v>
      </c>
      <c r="D46">
        <v>0.8682204312785885</v>
      </c>
      <c r="L46" t="s">
        <v>74</v>
      </c>
      <c r="M46" t="s">
        <v>5</v>
      </c>
      <c r="N46">
        <v>0.8671846634</v>
      </c>
    </row>
    <row r="47" spans="1:14" x14ac:dyDescent="0.25">
      <c r="A47" t="s">
        <v>26</v>
      </c>
      <c r="B47" t="str">
        <f>_xlfn.TEXTAFTER(A47,"\",-1)</f>
        <v>LIDC-IDRI-0458.png</v>
      </c>
      <c r="C47" t="s">
        <v>4</v>
      </c>
      <c r="D47">
        <v>0.90182137721680777</v>
      </c>
      <c r="L47" t="s">
        <v>74</v>
      </c>
      <c r="M47" t="s">
        <v>4</v>
      </c>
      <c r="N47">
        <v>0.90307876850000002</v>
      </c>
    </row>
    <row r="48" spans="1:14" x14ac:dyDescent="0.25">
      <c r="A48" t="s">
        <v>27</v>
      </c>
      <c r="B48" t="str">
        <f>_xlfn.TEXTAFTER(A48,"\",-1)</f>
        <v>LIDC-IDRI-0460.png</v>
      </c>
      <c r="C48" t="s">
        <v>5</v>
      </c>
      <c r="D48">
        <v>0.91327052293309963</v>
      </c>
      <c r="L48" t="s">
        <v>75</v>
      </c>
      <c r="M48" t="s">
        <v>5</v>
      </c>
      <c r="N48">
        <v>0.91068819400000001</v>
      </c>
    </row>
    <row r="49" spans="1:14" x14ac:dyDescent="0.25">
      <c r="A49" t="s">
        <v>27</v>
      </c>
      <c r="B49" t="str">
        <f>_xlfn.TEXTAFTER(A49,"\",-1)</f>
        <v>LIDC-IDRI-0460.png</v>
      </c>
      <c r="C49" t="s">
        <v>4</v>
      </c>
      <c r="D49">
        <v>0.93261689127702907</v>
      </c>
      <c r="L49" t="s">
        <v>75</v>
      </c>
      <c r="M49" t="s">
        <v>4</v>
      </c>
      <c r="N49">
        <v>0.9325789109</v>
      </c>
    </row>
    <row r="50" spans="1:14" x14ac:dyDescent="0.25">
      <c r="A50" t="s">
        <v>28</v>
      </c>
      <c r="B50" t="str">
        <f>_xlfn.TEXTAFTER(A50,"\",-1)</f>
        <v>LIDC-IDRI-0473.png</v>
      </c>
      <c r="C50" t="s">
        <v>4</v>
      </c>
      <c r="D50">
        <v>0.89342917792358167</v>
      </c>
      <c r="L50" t="s">
        <v>76</v>
      </c>
      <c r="M50" t="s">
        <v>4</v>
      </c>
      <c r="N50">
        <v>0.92685098710000002</v>
      </c>
    </row>
    <row r="51" spans="1:14" x14ac:dyDescent="0.25">
      <c r="A51" t="s">
        <v>28</v>
      </c>
      <c r="B51" t="str">
        <f>_xlfn.TEXTAFTER(A51,"\",-1)</f>
        <v>LIDC-IDRI-0473.png</v>
      </c>
      <c r="C51" t="s">
        <v>5</v>
      </c>
      <c r="D51">
        <v>0.90501151442044081</v>
      </c>
      <c r="L51" t="s">
        <v>76</v>
      </c>
      <c r="M51" t="s">
        <v>5</v>
      </c>
      <c r="N51">
        <v>0.87804705549999995</v>
      </c>
    </row>
    <row r="52" spans="1:14" x14ac:dyDescent="0.25">
      <c r="A52" t="s">
        <v>29</v>
      </c>
      <c r="B52" t="str">
        <f>_xlfn.TEXTAFTER(A52,"\",-1)</f>
        <v>LIDC-IDRI-0474.png</v>
      </c>
      <c r="C52" t="s">
        <v>5</v>
      </c>
      <c r="D52">
        <v>0.89854521251307407</v>
      </c>
      <c r="L52" t="s">
        <v>77</v>
      </c>
      <c r="M52" t="s">
        <v>5</v>
      </c>
      <c r="N52">
        <v>0.89891113119999999</v>
      </c>
    </row>
    <row r="53" spans="1:14" x14ac:dyDescent="0.25">
      <c r="A53" t="s">
        <v>29</v>
      </c>
      <c r="B53" t="str">
        <f>_xlfn.TEXTAFTER(A53,"\",-1)</f>
        <v>LIDC-IDRI-0474.png</v>
      </c>
      <c r="C53" t="s">
        <v>4</v>
      </c>
      <c r="D53">
        <v>0.89339347912978928</v>
      </c>
      <c r="L53" t="s">
        <v>77</v>
      </c>
      <c r="M53" t="s">
        <v>4</v>
      </c>
      <c r="N53">
        <v>0.89332191780000003</v>
      </c>
    </row>
    <row r="54" spans="1:14" x14ac:dyDescent="0.25">
      <c r="A54" t="s">
        <v>30</v>
      </c>
      <c r="B54" t="str">
        <f>_xlfn.TEXTAFTER(A54,"\",-1)</f>
        <v>LIDC-IDRI-0506.png</v>
      </c>
      <c r="C54" t="s">
        <v>5</v>
      </c>
      <c r="D54">
        <v>0.92213663764233089</v>
      </c>
      <c r="L54" t="s">
        <v>78</v>
      </c>
      <c r="M54" t="s">
        <v>5</v>
      </c>
      <c r="N54">
        <v>0.92199472429999996</v>
      </c>
    </row>
    <row r="55" spans="1:14" x14ac:dyDescent="0.25">
      <c r="A55" t="s">
        <v>30</v>
      </c>
      <c r="B55" t="str">
        <f>_xlfn.TEXTAFTER(A55,"\",-1)</f>
        <v>LIDC-IDRI-0506.png</v>
      </c>
      <c r="C55" t="s">
        <v>4</v>
      </c>
      <c r="D55">
        <v>0.91487928130263896</v>
      </c>
      <c r="L55" t="s">
        <v>78</v>
      </c>
      <c r="M55" t="s">
        <v>4</v>
      </c>
      <c r="N55">
        <v>0.91378341949999997</v>
      </c>
    </row>
    <row r="56" spans="1:14" x14ac:dyDescent="0.25">
      <c r="A56" t="s">
        <v>31</v>
      </c>
      <c r="B56" t="str">
        <f>_xlfn.TEXTAFTER(A56,"\",-1)</f>
        <v>LIDC-IDRI-0521.png</v>
      </c>
      <c r="C56" t="s">
        <v>4</v>
      </c>
      <c r="D56">
        <v>0.93216351338104109</v>
      </c>
      <c r="L56" t="s">
        <v>79</v>
      </c>
      <c r="M56" t="s">
        <v>4</v>
      </c>
      <c r="N56">
        <v>0.95140092129999998</v>
      </c>
    </row>
    <row r="57" spans="1:14" x14ac:dyDescent="0.25">
      <c r="A57" t="s">
        <v>31</v>
      </c>
      <c r="B57" t="str">
        <f>_xlfn.TEXTAFTER(A57,"\",-1)</f>
        <v>LIDC-IDRI-0521.png</v>
      </c>
      <c r="C57" t="s">
        <v>5</v>
      </c>
      <c r="D57">
        <v>0.95411532152920886</v>
      </c>
      <c r="L57" t="s">
        <v>79</v>
      </c>
      <c r="M57" t="s">
        <v>5</v>
      </c>
      <c r="N57">
        <v>0.93330058940000005</v>
      </c>
    </row>
    <row r="58" spans="1:14" x14ac:dyDescent="0.25">
      <c r="A58" t="s">
        <v>32</v>
      </c>
      <c r="B58" t="str">
        <f>_xlfn.TEXTAFTER(A58,"\",-1)</f>
        <v>LIDC-IDRI-0536.png</v>
      </c>
      <c r="C58" t="s">
        <v>5</v>
      </c>
      <c r="D58">
        <v>0.87870413020113614</v>
      </c>
      <c r="L58" t="s">
        <v>80</v>
      </c>
      <c r="M58" t="s">
        <v>5</v>
      </c>
      <c r="N58">
        <v>0.82173621210000003</v>
      </c>
    </row>
    <row r="59" spans="1:14" x14ac:dyDescent="0.25">
      <c r="A59" t="s">
        <v>32</v>
      </c>
      <c r="B59" t="str">
        <f>_xlfn.TEXTAFTER(A59,"\",-1)</f>
        <v>LIDC-IDRI-0536.png</v>
      </c>
      <c r="C59" t="s">
        <v>4</v>
      </c>
      <c r="D59">
        <v>0.92257964257964253</v>
      </c>
      <c r="L59" t="s">
        <v>80</v>
      </c>
      <c r="M59" t="s">
        <v>4</v>
      </c>
      <c r="N59">
        <v>0.92352813379999998</v>
      </c>
    </row>
    <row r="60" spans="1:14" x14ac:dyDescent="0.25">
      <c r="A60" t="s">
        <v>33</v>
      </c>
      <c r="B60" t="str">
        <f>_xlfn.TEXTAFTER(A60,"\",-1)</f>
        <v>LIDC-IDRI-0605.png</v>
      </c>
      <c r="C60" t="s">
        <v>4</v>
      </c>
      <c r="D60">
        <v>0.91962203457981506</v>
      </c>
      <c r="L60" t="s">
        <v>81</v>
      </c>
      <c r="M60" t="s">
        <v>4</v>
      </c>
      <c r="N60">
        <v>0.89959960390000004</v>
      </c>
    </row>
    <row r="61" spans="1:14" x14ac:dyDescent="0.25">
      <c r="A61" t="s">
        <v>33</v>
      </c>
      <c r="B61" t="str">
        <f>_xlfn.TEXTAFTER(A61,"\",-1)</f>
        <v>LIDC-IDRI-0605.png</v>
      </c>
      <c r="C61" t="s">
        <v>5</v>
      </c>
      <c r="D61">
        <v>0.89811385754887607</v>
      </c>
      <c r="L61" t="s">
        <v>81</v>
      </c>
      <c r="M61" t="s">
        <v>5</v>
      </c>
      <c r="N61">
        <v>0.91971213770000004</v>
      </c>
    </row>
    <row r="62" spans="1:14" x14ac:dyDescent="0.25">
      <c r="A62" t="s">
        <v>34</v>
      </c>
      <c r="B62" t="str">
        <f>_xlfn.TEXTAFTER(A62,"\",-1)</f>
        <v>LIDC-IDRI-0608.png</v>
      </c>
      <c r="C62" t="s">
        <v>5</v>
      </c>
      <c r="D62">
        <v>0.88552891396332867</v>
      </c>
      <c r="L62" t="s">
        <v>82</v>
      </c>
      <c r="M62" t="s">
        <v>5</v>
      </c>
      <c r="N62">
        <v>0.88053721569999999</v>
      </c>
    </row>
    <row r="63" spans="1:14" x14ac:dyDescent="0.25">
      <c r="A63" t="s">
        <v>34</v>
      </c>
      <c r="B63" t="str">
        <f>_xlfn.TEXTAFTER(A63,"\",-1)</f>
        <v>LIDC-IDRI-0608.png</v>
      </c>
      <c r="C63" t="s">
        <v>4</v>
      </c>
      <c r="D63">
        <v>0.90582433067167689</v>
      </c>
      <c r="L63" t="s">
        <v>82</v>
      </c>
      <c r="M63" t="s">
        <v>4</v>
      </c>
      <c r="N63">
        <v>0.90739870820000001</v>
      </c>
    </row>
    <row r="64" spans="1:14" x14ac:dyDescent="0.25">
      <c r="A64" t="s">
        <v>35</v>
      </c>
      <c r="B64" t="str">
        <f>_xlfn.TEXTAFTER(A64,"\",-1)</f>
        <v>LIDC-IDRI-0622.png</v>
      </c>
      <c r="C64" t="s">
        <v>4</v>
      </c>
      <c r="D64">
        <v>0.89548857368006307</v>
      </c>
      <c r="L64" t="s">
        <v>83</v>
      </c>
      <c r="M64" t="s">
        <v>4</v>
      </c>
      <c r="N64">
        <v>0.92018052299999997</v>
      </c>
    </row>
    <row r="65" spans="1:14" x14ac:dyDescent="0.25">
      <c r="A65" t="s">
        <v>35</v>
      </c>
      <c r="B65" t="str">
        <f>_xlfn.TEXTAFTER(A65,"\",-1)</f>
        <v>LIDC-IDRI-0622.png</v>
      </c>
      <c r="C65" t="s">
        <v>5</v>
      </c>
      <c r="D65">
        <v>0.92030814185150756</v>
      </c>
      <c r="L65" t="s">
        <v>83</v>
      </c>
      <c r="M65" t="s">
        <v>5</v>
      </c>
      <c r="N65">
        <v>0.89919936349999996</v>
      </c>
    </row>
    <row r="66" spans="1:14" x14ac:dyDescent="0.25">
      <c r="A66" t="s">
        <v>36</v>
      </c>
      <c r="B66" t="str">
        <f>_xlfn.TEXTAFTER(A66,"\",-1)</f>
        <v>LIDC-IDRI-0636.png</v>
      </c>
      <c r="C66" t="s">
        <v>4</v>
      </c>
      <c r="D66">
        <v>0.8826270355110849</v>
      </c>
      <c r="L66" t="s">
        <v>84</v>
      </c>
      <c r="M66" t="s">
        <v>4</v>
      </c>
      <c r="N66">
        <v>0.8633796882</v>
      </c>
    </row>
    <row r="67" spans="1:14" x14ac:dyDescent="0.25">
      <c r="A67" t="s">
        <v>36</v>
      </c>
      <c r="B67" t="str">
        <f>_xlfn.TEXTAFTER(A67,"\",-1)</f>
        <v>LIDC-IDRI-0636.png</v>
      </c>
      <c r="C67" t="s">
        <v>5</v>
      </c>
      <c r="D67">
        <v>0.86613214675510031</v>
      </c>
      <c r="L67" t="s">
        <v>84</v>
      </c>
      <c r="M67" t="s">
        <v>5</v>
      </c>
      <c r="N67">
        <v>0.87909626529999996</v>
      </c>
    </row>
    <row r="68" spans="1:14" x14ac:dyDescent="0.25">
      <c r="A68" t="s">
        <v>37</v>
      </c>
      <c r="B68" t="str">
        <f>_xlfn.TEXTAFTER(A68,"\",-1)</f>
        <v>LIDC-IDRI-0646.png</v>
      </c>
      <c r="C68" t="s">
        <v>4</v>
      </c>
      <c r="D68">
        <v>0.7518358531317495</v>
      </c>
      <c r="L68" t="s">
        <v>85</v>
      </c>
      <c r="M68" t="s">
        <v>4</v>
      </c>
      <c r="N68">
        <v>0.90316152520000004</v>
      </c>
    </row>
    <row r="69" spans="1:14" x14ac:dyDescent="0.25">
      <c r="A69" t="s">
        <v>37</v>
      </c>
      <c r="B69" t="str">
        <f>_xlfn.TEXTAFTER(A69,"\",-1)</f>
        <v>LIDC-IDRI-0646.png</v>
      </c>
      <c r="C69" t="s">
        <v>5</v>
      </c>
      <c r="D69">
        <v>0.90319736236773496</v>
      </c>
      <c r="L69" t="s">
        <v>85</v>
      </c>
      <c r="M69" t="s">
        <v>5</v>
      </c>
      <c r="N69">
        <v>0.74983867500000001</v>
      </c>
    </row>
    <row r="70" spans="1:14" x14ac:dyDescent="0.25">
      <c r="A70" t="s">
        <v>38</v>
      </c>
      <c r="B70" t="str">
        <f>_xlfn.TEXTAFTER(A70,"\",-1)</f>
        <v>LIDC-IDRI-0654.png</v>
      </c>
      <c r="C70" t="s">
        <v>4</v>
      </c>
      <c r="D70">
        <v>0.86709291252890763</v>
      </c>
      <c r="L70" t="s">
        <v>86</v>
      </c>
      <c r="M70" t="s">
        <v>4</v>
      </c>
      <c r="N70">
        <v>0.85848763029999997</v>
      </c>
    </row>
    <row r="71" spans="1:14" x14ac:dyDescent="0.25">
      <c r="A71" t="s">
        <v>38</v>
      </c>
      <c r="B71" t="str">
        <f>_xlfn.TEXTAFTER(A71,"\",-1)</f>
        <v>LIDC-IDRI-0654.png</v>
      </c>
      <c r="C71" t="s">
        <v>5</v>
      </c>
      <c r="D71">
        <v>0.85094913557429441</v>
      </c>
      <c r="L71" t="s">
        <v>86</v>
      </c>
      <c r="M71" t="s">
        <v>5</v>
      </c>
      <c r="N71">
        <v>0.83706084160000005</v>
      </c>
    </row>
    <row r="72" spans="1:14" x14ac:dyDescent="0.25">
      <c r="A72" t="s">
        <v>39</v>
      </c>
      <c r="B72" t="str">
        <f>_xlfn.TEXTAFTER(A72,"\",-1)</f>
        <v>LIDC-IDRI-0662.png</v>
      </c>
      <c r="C72" t="s">
        <v>5</v>
      </c>
      <c r="D72">
        <v>0.93167952402561383</v>
      </c>
      <c r="L72" t="s">
        <v>87</v>
      </c>
      <c r="M72" t="s">
        <v>5</v>
      </c>
      <c r="N72">
        <v>0.92887537990000002</v>
      </c>
    </row>
    <row r="73" spans="1:14" x14ac:dyDescent="0.25">
      <c r="A73" t="s">
        <v>39</v>
      </c>
      <c r="B73" t="str">
        <f>_xlfn.TEXTAFTER(A73,"\",-1)</f>
        <v>LIDC-IDRI-0662.png</v>
      </c>
      <c r="C73" t="s">
        <v>4</v>
      </c>
      <c r="D73">
        <v>0.87732582027352235</v>
      </c>
      <c r="L73" t="s">
        <v>87</v>
      </c>
      <c r="M73" t="s">
        <v>4</v>
      </c>
      <c r="N73">
        <v>0.8785684855</v>
      </c>
    </row>
    <row r="74" spans="1:14" x14ac:dyDescent="0.25">
      <c r="A74" t="s">
        <v>40</v>
      </c>
      <c r="B74" t="str">
        <f>_xlfn.TEXTAFTER(A74,"\",-1)</f>
        <v>LIDC-IDRI-0675.png</v>
      </c>
      <c r="C74" t="s">
        <v>5</v>
      </c>
      <c r="D74">
        <v>0.9330958701569273</v>
      </c>
      <c r="L74" t="s">
        <v>88</v>
      </c>
      <c r="M74" t="s">
        <v>5</v>
      </c>
      <c r="N74">
        <v>0.93550565590000001</v>
      </c>
    </row>
    <row r="75" spans="1:14" x14ac:dyDescent="0.25">
      <c r="A75" t="s">
        <v>40</v>
      </c>
      <c r="B75" t="str">
        <f>_xlfn.TEXTAFTER(A75,"\",-1)</f>
        <v>LIDC-IDRI-0675.png</v>
      </c>
      <c r="C75" t="s">
        <v>4</v>
      </c>
      <c r="D75">
        <v>0.92497539280376218</v>
      </c>
      <c r="L75" t="s">
        <v>88</v>
      </c>
      <c r="M75" t="s">
        <v>4</v>
      </c>
      <c r="N75">
        <v>0.92566926839999997</v>
      </c>
    </row>
    <row r="76" spans="1:14" x14ac:dyDescent="0.25">
      <c r="A76" t="s">
        <v>41</v>
      </c>
      <c r="B76" t="str">
        <f>_xlfn.TEXTAFTER(A76,"\",-1)</f>
        <v>LIDC-IDRI-0700.png</v>
      </c>
      <c r="C76" t="s">
        <v>4</v>
      </c>
      <c r="D76">
        <v>0.92217967340111806</v>
      </c>
      <c r="L76" t="s">
        <v>89</v>
      </c>
      <c r="M76" t="s">
        <v>4</v>
      </c>
      <c r="N76">
        <v>0.90587165169999995</v>
      </c>
    </row>
    <row r="77" spans="1:14" x14ac:dyDescent="0.25">
      <c r="A77" t="s">
        <v>41</v>
      </c>
      <c r="B77" t="str">
        <f>_xlfn.TEXTAFTER(A77,"\",-1)</f>
        <v>LIDC-IDRI-0700.png</v>
      </c>
      <c r="C77" t="s">
        <v>5</v>
      </c>
      <c r="D77">
        <v>0.90548044044295262</v>
      </c>
      <c r="L77" t="s">
        <v>89</v>
      </c>
      <c r="M77" t="s">
        <v>5</v>
      </c>
      <c r="N77">
        <v>0.92120331219999996</v>
      </c>
    </row>
    <row r="78" spans="1:14" x14ac:dyDescent="0.25">
      <c r="A78" t="s">
        <v>42</v>
      </c>
      <c r="B78" t="str">
        <f>_xlfn.TEXTAFTER(A78,"\",-1)</f>
        <v>LIDC-IDRI-0756.png</v>
      </c>
      <c r="C78" t="s">
        <v>5</v>
      </c>
      <c r="D78">
        <v>0.85949471284746404</v>
      </c>
      <c r="L78" t="s">
        <v>90</v>
      </c>
      <c r="M78" t="s">
        <v>5</v>
      </c>
      <c r="N78">
        <v>0.85995505900000002</v>
      </c>
    </row>
    <row r="79" spans="1:14" x14ac:dyDescent="0.25">
      <c r="A79" t="s">
        <v>42</v>
      </c>
      <c r="B79" t="str">
        <f>_xlfn.TEXTAFTER(A79,"\",-1)</f>
        <v>LIDC-IDRI-0756.png</v>
      </c>
      <c r="C79" t="s">
        <v>4</v>
      </c>
      <c r="D79">
        <v>0.63075583925721745</v>
      </c>
      <c r="L79" t="s">
        <v>90</v>
      </c>
      <c r="M79" t="s">
        <v>4</v>
      </c>
      <c r="N79">
        <v>0.62468521229999996</v>
      </c>
    </row>
    <row r="80" spans="1:14" x14ac:dyDescent="0.25">
      <c r="A80" t="s">
        <v>43</v>
      </c>
      <c r="B80" t="str">
        <f>_xlfn.TEXTAFTER(A80,"\",-1)</f>
        <v>LIDC-IDRI-0765.png</v>
      </c>
      <c r="C80" t="s">
        <v>5</v>
      </c>
      <c r="D80">
        <v>0.92990502475850312</v>
      </c>
      <c r="L80" t="s">
        <v>91</v>
      </c>
      <c r="M80" t="s">
        <v>5</v>
      </c>
      <c r="N80">
        <v>0.93084415580000002</v>
      </c>
    </row>
    <row r="81" spans="1:14" x14ac:dyDescent="0.25">
      <c r="A81" t="s">
        <v>43</v>
      </c>
      <c r="B81" t="str">
        <f>_xlfn.TEXTAFTER(A81,"\",-1)</f>
        <v>LIDC-IDRI-0765.png</v>
      </c>
      <c r="C81" t="s">
        <v>4</v>
      </c>
      <c r="D81">
        <v>0.83305389221556891</v>
      </c>
      <c r="L81" t="s">
        <v>91</v>
      </c>
      <c r="M81" t="s">
        <v>4</v>
      </c>
      <c r="N81">
        <v>0.82983894020000004</v>
      </c>
    </row>
    <row r="82" spans="1:14" x14ac:dyDescent="0.25">
      <c r="A82" t="s">
        <v>44</v>
      </c>
      <c r="B82" t="str">
        <f>_xlfn.TEXTAFTER(A82,"\",-1)</f>
        <v>LIDC-IDRI-0775.png</v>
      </c>
      <c r="C82" t="s">
        <v>5</v>
      </c>
      <c r="D82">
        <v>0.88882663150955832</v>
      </c>
      <c r="L82" t="s">
        <v>92</v>
      </c>
      <c r="M82" t="s">
        <v>5</v>
      </c>
      <c r="N82">
        <v>0.88862113359999995</v>
      </c>
    </row>
    <row r="83" spans="1:14" x14ac:dyDescent="0.25">
      <c r="A83" t="s">
        <v>44</v>
      </c>
      <c r="B83" t="str">
        <f>_xlfn.TEXTAFTER(A83,"\",-1)</f>
        <v>LIDC-IDRI-0775.png</v>
      </c>
      <c r="C83" t="s">
        <v>4</v>
      </c>
      <c r="D83">
        <v>0.94619427837740244</v>
      </c>
      <c r="L83" t="s">
        <v>92</v>
      </c>
      <c r="M83" t="s">
        <v>4</v>
      </c>
      <c r="N83">
        <v>0.94435969490000005</v>
      </c>
    </row>
    <row r="84" spans="1:14" x14ac:dyDescent="0.25">
      <c r="A84" t="s">
        <v>45</v>
      </c>
      <c r="B84" t="str">
        <f>_xlfn.TEXTAFTER(A84,"\",-1)</f>
        <v>LIDC-IDRI-0787.png</v>
      </c>
      <c r="C84" t="s">
        <v>4</v>
      </c>
      <c r="D84">
        <v>0.89680183396595137</v>
      </c>
      <c r="L84" t="s">
        <v>93</v>
      </c>
      <c r="M84" t="s">
        <v>4</v>
      </c>
      <c r="N84">
        <v>0.84049120700000002</v>
      </c>
    </row>
    <row r="85" spans="1:14" x14ac:dyDescent="0.25">
      <c r="A85" t="s">
        <v>45</v>
      </c>
      <c r="B85" t="str">
        <f>_xlfn.TEXTAFTER(A85,"\",-1)</f>
        <v>LIDC-IDRI-0787.png</v>
      </c>
      <c r="C85" t="s">
        <v>5</v>
      </c>
      <c r="D85">
        <v>0.84172517552657977</v>
      </c>
      <c r="L85" t="s">
        <v>93</v>
      </c>
      <c r="M85" t="s">
        <v>5</v>
      </c>
      <c r="N85">
        <v>0.89639995490000002</v>
      </c>
    </row>
    <row r="86" spans="1:14" x14ac:dyDescent="0.25">
      <c r="A86" t="s">
        <v>46</v>
      </c>
      <c r="B86" t="str">
        <f>_xlfn.TEXTAFTER(A86,"\",-1)</f>
        <v>LIDC-IDRI-0811.png</v>
      </c>
      <c r="C86" t="s">
        <v>4</v>
      </c>
      <c r="D86">
        <v>0.90480330362964578</v>
      </c>
      <c r="L86" t="s">
        <v>94</v>
      </c>
      <c r="M86" t="s">
        <v>4</v>
      </c>
      <c r="N86">
        <v>0.89994086340000001</v>
      </c>
    </row>
    <row r="87" spans="1:14" x14ac:dyDescent="0.25">
      <c r="A87" t="s">
        <v>46</v>
      </c>
      <c r="B87" t="str">
        <f>_xlfn.TEXTAFTER(A87,"\",-1)</f>
        <v>LIDC-IDRI-0811.png</v>
      </c>
      <c r="C87" t="s">
        <v>5</v>
      </c>
      <c r="D87">
        <v>0.89990136121522979</v>
      </c>
      <c r="L87" t="s">
        <v>94</v>
      </c>
      <c r="M87" t="s">
        <v>5</v>
      </c>
      <c r="N87">
        <v>0.90868828260000001</v>
      </c>
    </row>
    <row r="88" spans="1:14" x14ac:dyDescent="0.25">
      <c r="A88" t="s">
        <v>47</v>
      </c>
      <c r="B88" t="str">
        <f>_xlfn.TEXTAFTER(A88,"\",-1)</f>
        <v>LIDC-IDRI-0841.png</v>
      </c>
      <c r="C88" t="s">
        <v>4</v>
      </c>
      <c r="D88">
        <v>0.89188315188099598</v>
      </c>
      <c r="L88" t="s">
        <v>95</v>
      </c>
      <c r="M88" t="s">
        <v>4</v>
      </c>
      <c r="N88">
        <v>0.92583840309999998</v>
      </c>
    </row>
    <row r="89" spans="1:14" x14ac:dyDescent="0.25">
      <c r="A89" t="s">
        <v>47</v>
      </c>
      <c r="B89" t="str">
        <f>_xlfn.TEXTAFTER(A89,"\",-1)</f>
        <v>LIDC-IDRI-0841.png</v>
      </c>
      <c r="C89" t="s">
        <v>5</v>
      </c>
      <c r="D89">
        <v>0.92684641261234124</v>
      </c>
      <c r="L89" t="s">
        <v>95</v>
      </c>
      <c r="M89" t="s">
        <v>5</v>
      </c>
      <c r="N89">
        <v>0.89719022500000001</v>
      </c>
    </row>
    <row r="90" spans="1:14" x14ac:dyDescent="0.25">
      <c r="A90" t="s">
        <v>48</v>
      </c>
      <c r="B90" t="str">
        <f>_xlfn.TEXTAFTER(A90,"\",-1)</f>
        <v>LIDC-IDRI-0853.png</v>
      </c>
      <c r="C90" t="s">
        <v>5</v>
      </c>
      <c r="D90">
        <v>0.89780625543006076</v>
      </c>
      <c r="L90" t="s">
        <v>96</v>
      </c>
      <c r="M90" t="s">
        <v>5</v>
      </c>
      <c r="N90">
        <v>0.89778195900000002</v>
      </c>
    </row>
    <row r="91" spans="1:14" x14ac:dyDescent="0.25">
      <c r="A91" t="s">
        <v>48</v>
      </c>
      <c r="B91" t="str">
        <f>_xlfn.TEXTAFTER(A91,"\",-1)</f>
        <v>LIDC-IDRI-0853.png</v>
      </c>
      <c r="C91" t="s">
        <v>4</v>
      </c>
      <c r="D91">
        <v>0.89188698925218812</v>
      </c>
      <c r="L91" t="s">
        <v>96</v>
      </c>
      <c r="M91" t="s">
        <v>4</v>
      </c>
      <c r="N91">
        <v>0.89205730350000001</v>
      </c>
    </row>
    <row r="92" spans="1:14" x14ac:dyDescent="0.25">
      <c r="A92" t="s">
        <v>49</v>
      </c>
      <c r="B92" t="str">
        <f>_xlfn.TEXTAFTER(A92,"\",-1)</f>
        <v>LIDC-IDRI-0891.png</v>
      </c>
      <c r="C92" t="s">
        <v>5</v>
      </c>
      <c r="D92">
        <v>0.87084034228040663</v>
      </c>
      <c r="L92" t="s">
        <v>97</v>
      </c>
      <c r="M92" t="s">
        <v>5</v>
      </c>
      <c r="N92">
        <v>0.87081444659999996</v>
      </c>
    </row>
    <row r="93" spans="1:14" x14ac:dyDescent="0.25">
      <c r="A93" t="s">
        <v>49</v>
      </c>
      <c r="B93" t="str">
        <f>_xlfn.TEXTAFTER(A93,"\",-1)</f>
        <v>LIDC-IDRI-0891.png</v>
      </c>
      <c r="C93" t="s">
        <v>4</v>
      </c>
      <c r="D93">
        <v>0.82370686483702449</v>
      </c>
      <c r="L93" t="s">
        <v>97</v>
      </c>
      <c r="M93" t="s">
        <v>4</v>
      </c>
      <c r="N93">
        <v>0.82270064340000004</v>
      </c>
    </row>
  </sheetData>
  <mergeCells count="4">
    <mergeCell ref="B1:D2"/>
    <mergeCell ref="F3:J10"/>
    <mergeCell ref="L1:N2"/>
    <mergeCell ref="P3:T10"/>
  </mergeCell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0751-6620-4800-956C-0365F3AB1045}">
  <dimension ref="A2:AD25"/>
  <sheetViews>
    <sheetView workbookViewId="0">
      <selection activeCell="AC20" sqref="AC20"/>
    </sheetView>
  </sheetViews>
  <sheetFormatPr defaultRowHeight="15" x14ac:dyDescent="0.25"/>
  <sheetData>
    <row r="2" spans="1:30" x14ac:dyDescent="0.25">
      <c r="A2" s="2" t="s">
        <v>102</v>
      </c>
      <c r="B2" s="2"/>
      <c r="C2" s="2"/>
      <c r="D2" s="2"/>
      <c r="E2" s="2"/>
      <c r="F2" s="2"/>
      <c r="G2" s="2"/>
      <c r="H2" s="6"/>
    </row>
    <row r="3" spans="1:30" x14ac:dyDescent="0.25">
      <c r="A3" s="6"/>
      <c r="B3" s="6"/>
      <c r="C3" s="6"/>
      <c r="D3" s="6"/>
      <c r="E3" s="6"/>
      <c r="F3" s="6"/>
      <c r="G3" s="6"/>
      <c r="H3" s="6"/>
      <c r="I3" s="4"/>
      <c r="J3" s="4"/>
      <c r="K3" s="4"/>
      <c r="L3" s="4"/>
    </row>
    <row r="4" spans="1:30" ht="15" customHeight="1" x14ac:dyDescent="0.25">
      <c r="B4" s="7" t="s">
        <v>103</v>
      </c>
      <c r="C4" s="8"/>
      <c r="D4" s="8"/>
      <c r="E4" s="8"/>
      <c r="F4" s="8"/>
      <c r="G4" s="8"/>
      <c r="H4" s="9"/>
      <c r="I4" s="4"/>
      <c r="J4" s="7" t="s">
        <v>100</v>
      </c>
      <c r="K4" s="8"/>
      <c r="L4" s="8"/>
      <c r="M4" s="9"/>
      <c r="O4" s="16" t="s">
        <v>101</v>
      </c>
      <c r="P4" s="17"/>
      <c r="Q4" s="17"/>
      <c r="R4" s="17"/>
      <c r="S4" s="17"/>
      <c r="T4" s="18"/>
    </row>
    <row r="5" spans="1:30" ht="15" customHeight="1" x14ac:dyDescent="0.25">
      <c r="B5" s="10"/>
      <c r="C5" s="11"/>
      <c r="D5" s="11"/>
      <c r="E5" s="11"/>
      <c r="F5" s="11"/>
      <c r="G5" s="11"/>
      <c r="H5" s="12"/>
      <c r="I5" s="4"/>
      <c r="J5" s="10"/>
      <c r="K5" s="11"/>
      <c r="L5" s="11"/>
      <c r="M5" s="12"/>
      <c r="O5" s="19"/>
      <c r="P5" s="20"/>
      <c r="Q5" s="20"/>
      <c r="R5" s="20"/>
      <c r="S5" s="20"/>
      <c r="T5" s="21"/>
      <c r="Z5" s="7" t="s">
        <v>104</v>
      </c>
      <c r="AA5" s="25"/>
      <c r="AB5" s="25"/>
      <c r="AC5" s="25"/>
      <c r="AD5" s="26"/>
    </row>
    <row r="6" spans="1:30" x14ac:dyDescent="0.25">
      <c r="B6" s="10"/>
      <c r="C6" s="11"/>
      <c r="D6" s="11"/>
      <c r="E6" s="11"/>
      <c r="F6" s="11"/>
      <c r="G6" s="11"/>
      <c r="H6" s="12"/>
      <c r="I6" s="4"/>
      <c r="J6" s="10"/>
      <c r="K6" s="11"/>
      <c r="L6" s="11"/>
      <c r="M6" s="12"/>
      <c r="O6" s="19"/>
      <c r="P6" s="20"/>
      <c r="Q6" s="20"/>
      <c r="R6" s="20"/>
      <c r="S6" s="20"/>
      <c r="T6" s="21"/>
      <c r="Z6" s="27"/>
      <c r="AA6" s="28"/>
      <c r="AB6" s="28"/>
      <c r="AC6" s="28"/>
      <c r="AD6" s="29"/>
    </row>
    <row r="7" spans="1:30" x14ac:dyDescent="0.25">
      <c r="B7" s="10"/>
      <c r="C7" s="11"/>
      <c r="D7" s="11"/>
      <c r="E7" s="11"/>
      <c r="F7" s="11"/>
      <c r="G7" s="11"/>
      <c r="H7" s="12"/>
      <c r="I7" s="4"/>
      <c r="J7" s="10"/>
      <c r="K7" s="11"/>
      <c r="L7" s="11"/>
      <c r="M7" s="12"/>
      <c r="O7" s="19"/>
      <c r="P7" s="20"/>
      <c r="Q7" s="20"/>
      <c r="R7" s="20"/>
      <c r="S7" s="20"/>
      <c r="T7" s="21"/>
      <c r="Z7" s="27"/>
      <c r="AA7" s="28"/>
      <c r="AB7" s="28"/>
      <c r="AC7" s="28"/>
      <c r="AD7" s="29"/>
    </row>
    <row r="8" spans="1:30" x14ac:dyDescent="0.25">
      <c r="B8" s="10"/>
      <c r="C8" s="11"/>
      <c r="D8" s="11"/>
      <c r="E8" s="11"/>
      <c r="F8" s="11"/>
      <c r="G8" s="11"/>
      <c r="H8" s="12"/>
      <c r="I8" s="4"/>
      <c r="J8" s="10"/>
      <c r="K8" s="11"/>
      <c r="L8" s="11"/>
      <c r="M8" s="12"/>
      <c r="O8" s="19"/>
      <c r="P8" s="20"/>
      <c r="Q8" s="20"/>
      <c r="R8" s="20"/>
      <c r="S8" s="20"/>
      <c r="T8" s="21"/>
      <c r="Z8" s="27"/>
      <c r="AA8" s="28"/>
      <c r="AB8" s="28"/>
      <c r="AC8" s="28"/>
      <c r="AD8" s="29"/>
    </row>
    <row r="9" spans="1:30" x14ac:dyDescent="0.25">
      <c r="B9" s="10"/>
      <c r="C9" s="11"/>
      <c r="D9" s="11"/>
      <c r="E9" s="11"/>
      <c r="F9" s="11"/>
      <c r="G9" s="11"/>
      <c r="H9" s="12"/>
      <c r="I9" s="4"/>
      <c r="J9" s="10"/>
      <c r="K9" s="11"/>
      <c r="L9" s="11"/>
      <c r="M9" s="12"/>
      <c r="O9" s="19"/>
      <c r="P9" s="20"/>
      <c r="Q9" s="20"/>
      <c r="R9" s="20"/>
      <c r="S9" s="20"/>
      <c r="T9" s="21"/>
      <c r="Z9" s="27"/>
      <c r="AA9" s="28"/>
      <c r="AB9" s="28"/>
      <c r="AC9" s="28"/>
      <c r="AD9" s="29"/>
    </row>
    <row r="10" spans="1:30" x14ac:dyDescent="0.25">
      <c r="B10" s="10"/>
      <c r="C10" s="11"/>
      <c r="D10" s="11"/>
      <c r="E10" s="11"/>
      <c r="F10" s="11"/>
      <c r="G10" s="11"/>
      <c r="H10" s="12"/>
      <c r="I10" s="4"/>
      <c r="J10" s="10"/>
      <c r="K10" s="11"/>
      <c r="L10" s="11"/>
      <c r="M10" s="12"/>
      <c r="O10" s="19"/>
      <c r="P10" s="20"/>
      <c r="Q10" s="20"/>
      <c r="R10" s="20"/>
      <c r="S10" s="20"/>
      <c r="T10" s="21"/>
      <c r="Z10" s="30"/>
      <c r="AA10" s="31"/>
      <c r="AB10" s="31"/>
      <c r="AC10" s="31"/>
      <c r="AD10" s="32"/>
    </row>
    <row r="11" spans="1:30" x14ac:dyDescent="0.25">
      <c r="B11" s="10"/>
      <c r="C11" s="11"/>
      <c r="D11" s="11"/>
      <c r="E11" s="11"/>
      <c r="F11" s="11"/>
      <c r="G11" s="11"/>
      <c r="H11" s="12"/>
      <c r="J11" s="13"/>
      <c r="K11" s="14"/>
      <c r="L11" s="14"/>
      <c r="M11" s="15"/>
      <c r="O11" s="19"/>
      <c r="P11" s="20"/>
      <c r="Q11" s="20"/>
      <c r="R11" s="20"/>
      <c r="S11" s="20"/>
      <c r="T11" s="21"/>
    </row>
    <row r="12" spans="1:30" x14ac:dyDescent="0.25">
      <c r="B12" s="10"/>
      <c r="C12" s="11"/>
      <c r="D12" s="11"/>
      <c r="E12" s="11"/>
      <c r="F12" s="11"/>
      <c r="G12" s="11"/>
      <c r="H12" s="12"/>
      <c r="O12" s="19"/>
      <c r="P12" s="20"/>
      <c r="Q12" s="20"/>
      <c r="R12" s="20"/>
      <c r="S12" s="20"/>
      <c r="T12" s="21"/>
    </row>
    <row r="13" spans="1:30" x14ac:dyDescent="0.25">
      <c r="B13" s="10"/>
      <c r="C13" s="11"/>
      <c r="D13" s="11"/>
      <c r="E13" s="11"/>
      <c r="F13" s="11"/>
      <c r="G13" s="11"/>
      <c r="H13" s="12"/>
      <c r="O13" s="19"/>
      <c r="P13" s="20"/>
      <c r="Q13" s="20"/>
      <c r="R13" s="20"/>
      <c r="S13" s="20"/>
      <c r="T13" s="21"/>
    </row>
    <row r="14" spans="1:30" x14ac:dyDescent="0.25">
      <c r="B14" s="10"/>
      <c r="C14" s="11"/>
      <c r="D14" s="11"/>
      <c r="E14" s="11"/>
      <c r="F14" s="11"/>
      <c r="G14" s="11"/>
      <c r="H14" s="12"/>
      <c r="O14" s="19"/>
      <c r="P14" s="20"/>
      <c r="Q14" s="20"/>
      <c r="R14" s="20"/>
      <c r="S14" s="20"/>
      <c r="T14" s="21"/>
    </row>
    <row r="15" spans="1:30" x14ac:dyDescent="0.25">
      <c r="B15" s="10"/>
      <c r="C15" s="11"/>
      <c r="D15" s="11"/>
      <c r="E15" s="11"/>
      <c r="F15" s="11"/>
      <c r="G15" s="11"/>
      <c r="H15" s="12"/>
      <c r="O15" s="19"/>
      <c r="P15" s="20"/>
      <c r="Q15" s="20"/>
      <c r="R15" s="20"/>
      <c r="S15" s="20"/>
      <c r="T15" s="21"/>
    </row>
    <row r="16" spans="1:30" x14ac:dyDescent="0.25">
      <c r="B16" s="10"/>
      <c r="C16" s="11"/>
      <c r="D16" s="11"/>
      <c r="E16" s="11"/>
      <c r="F16" s="11"/>
      <c r="G16" s="11"/>
      <c r="H16" s="12"/>
      <c r="O16" s="19"/>
      <c r="P16" s="20"/>
      <c r="Q16" s="20"/>
      <c r="R16" s="20"/>
      <c r="S16" s="20"/>
      <c r="T16" s="21"/>
    </row>
    <row r="17" spans="2:20" x14ac:dyDescent="0.25">
      <c r="B17" s="10"/>
      <c r="C17" s="11"/>
      <c r="D17" s="11"/>
      <c r="E17" s="11"/>
      <c r="F17" s="11"/>
      <c r="G17" s="11"/>
      <c r="H17" s="12"/>
      <c r="O17" s="19"/>
      <c r="P17" s="20"/>
      <c r="Q17" s="20"/>
      <c r="R17" s="20"/>
      <c r="S17" s="20"/>
      <c r="T17" s="21"/>
    </row>
    <row r="18" spans="2:20" x14ac:dyDescent="0.25">
      <c r="B18" s="10"/>
      <c r="C18" s="11"/>
      <c r="D18" s="11"/>
      <c r="E18" s="11"/>
      <c r="F18" s="11"/>
      <c r="G18" s="11"/>
      <c r="H18" s="12"/>
      <c r="O18" s="19"/>
      <c r="P18" s="20"/>
      <c r="Q18" s="20"/>
      <c r="R18" s="20"/>
      <c r="S18" s="20"/>
      <c r="T18" s="21"/>
    </row>
    <row r="19" spans="2:20" x14ac:dyDescent="0.25">
      <c r="B19" s="10"/>
      <c r="C19" s="11"/>
      <c r="D19" s="11"/>
      <c r="E19" s="11"/>
      <c r="F19" s="11"/>
      <c r="G19" s="11"/>
      <c r="H19" s="12"/>
      <c r="O19" s="19"/>
      <c r="P19" s="20"/>
      <c r="Q19" s="20"/>
      <c r="R19" s="20"/>
      <c r="S19" s="20"/>
      <c r="T19" s="21"/>
    </row>
    <row r="20" spans="2:20" x14ac:dyDescent="0.25">
      <c r="B20" s="10"/>
      <c r="C20" s="11"/>
      <c r="D20" s="11"/>
      <c r="E20" s="11"/>
      <c r="F20" s="11"/>
      <c r="G20" s="11"/>
      <c r="H20" s="12"/>
      <c r="O20" s="22"/>
      <c r="P20" s="23"/>
      <c r="Q20" s="23"/>
      <c r="R20" s="23"/>
      <c r="S20" s="23"/>
      <c r="T20" s="24"/>
    </row>
    <row r="21" spans="2:20" x14ac:dyDescent="0.25">
      <c r="B21" s="10"/>
      <c r="C21" s="11"/>
      <c r="D21" s="11"/>
      <c r="E21" s="11"/>
      <c r="F21" s="11"/>
      <c r="G21" s="11"/>
      <c r="H21" s="12"/>
      <c r="O21" s="4"/>
      <c r="P21" s="4"/>
      <c r="Q21" s="4"/>
      <c r="R21" s="4"/>
      <c r="S21" s="4"/>
    </row>
    <row r="22" spans="2:20" x14ac:dyDescent="0.25">
      <c r="B22" s="10"/>
      <c r="C22" s="11"/>
      <c r="D22" s="11"/>
      <c r="E22" s="11"/>
      <c r="F22" s="11"/>
      <c r="G22" s="11"/>
      <c r="H22" s="12"/>
      <c r="O22" s="4"/>
      <c r="P22" s="4"/>
      <c r="Q22" s="4"/>
      <c r="R22" s="4"/>
      <c r="S22" s="4"/>
    </row>
    <row r="23" spans="2:20" x14ac:dyDescent="0.25">
      <c r="B23" s="10"/>
      <c r="C23" s="11"/>
      <c r="D23" s="11"/>
      <c r="E23" s="11"/>
      <c r="F23" s="11"/>
      <c r="G23" s="11"/>
      <c r="H23" s="12"/>
      <c r="O23" s="4"/>
      <c r="P23" s="4"/>
      <c r="Q23" s="4"/>
      <c r="R23" s="4"/>
      <c r="S23" s="4"/>
    </row>
    <row r="24" spans="2:20" x14ac:dyDescent="0.25">
      <c r="B24" s="10"/>
      <c r="C24" s="11"/>
      <c r="D24" s="11"/>
      <c r="E24" s="11"/>
      <c r="F24" s="11"/>
      <c r="G24" s="11"/>
      <c r="H24" s="12"/>
      <c r="O24" s="4"/>
      <c r="P24" s="4"/>
      <c r="Q24" s="4"/>
      <c r="R24" s="4"/>
      <c r="S24" s="4"/>
    </row>
    <row r="25" spans="2:20" x14ac:dyDescent="0.25">
      <c r="B25" s="13"/>
      <c r="C25" s="14"/>
      <c r="D25" s="14"/>
      <c r="E25" s="14"/>
      <c r="F25" s="14"/>
      <c r="G25" s="14"/>
      <c r="H25" s="15"/>
      <c r="O25" s="4"/>
      <c r="P25" s="4"/>
      <c r="Q25" s="4"/>
      <c r="R25" s="4"/>
      <c r="S25" s="4"/>
    </row>
  </sheetData>
  <mergeCells count="5">
    <mergeCell ref="Z5:AD10"/>
    <mergeCell ref="B4:H25"/>
    <mergeCell ref="J4:M11"/>
    <mergeCell ref="A2:G2"/>
    <mergeCell ref="O4:T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09DE-DBC2-489B-99FB-9B07B2FE6121}">
  <dimension ref="A1:J14"/>
  <sheetViews>
    <sheetView tabSelected="1" workbookViewId="0">
      <selection activeCell="G16" sqref="G16"/>
    </sheetView>
  </sheetViews>
  <sheetFormatPr defaultRowHeight="15" x14ac:dyDescent="0.25"/>
  <sheetData>
    <row r="1" spans="1:10" x14ac:dyDescent="0.25">
      <c r="A1" s="33" t="s">
        <v>105</v>
      </c>
      <c r="B1" s="5"/>
      <c r="C1" s="5"/>
      <c r="D1" s="5"/>
      <c r="E1" s="5"/>
      <c r="F1" s="5"/>
      <c r="G1" s="5"/>
      <c r="H1" s="5"/>
      <c r="I1" s="5"/>
      <c r="J1" s="5"/>
    </row>
    <row r="2" spans="1:10" x14ac:dyDescent="0.25">
      <c r="A2" s="5"/>
      <c r="B2" s="5"/>
      <c r="C2" s="5"/>
      <c r="D2" s="5"/>
      <c r="E2" s="5"/>
      <c r="F2" s="5"/>
      <c r="G2" s="5"/>
      <c r="H2" s="5"/>
      <c r="I2" s="5"/>
      <c r="J2" s="5"/>
    </row>
    <row r="3" spans="1:10" x14ac:dyDescent="0.25">
      <c r="A3" s="5"/>
      <c r="B3" s="5"/>
      <c r="C3" s="5"/>
      <c r="D3" s="5"/>
      <c r="E3" s="5"/>
      <c r="F3" s="5"/>
      <c r="G3" s="5"/>
      <c r="H3" s="5"/>
      <c r="I3" s="5"/>
      <c r="J3" s="5"/>
    </row>
    <row r="4" spans="1:10" x14ac:dyDescent="0.25">
      <c r="A4" s="5"/>
      <c r="B4" s="5"/>
      <c r="C4" s="5"/>
      <c r="D4" s="5"/>
      <c r="E4" s="5"/>
      <c r="F4" s="5"/>
      <c r="G4" s="5"/>
      <c r="H4" s="5"/>
      <c r="I4" s="5"/>
      <c r="J4" s="5"/>
    </row>
    <row r="5" spans="1:10" x14ac:dyDescent="0.25">
      <c r="A5" s="5"/>
      <c r="B5" s="5"/>
      <c r="C5" s="5"/>
      <c r="D5" s="5"/>
      <c r="E5" s="5"/>
      <c r="F5" s="5"/>
      <c r="G5" s="5"/>
      <c r="H5" s="5"/>
      <c r="I5" s="5"/>
      <c r="J5" s="5"/>
    </row>
    <row r="6" spans="1:10" x14ac:dyDescent="0.25">
      <c r="A6" s="5"/>
      <c r="B6" s="5"/>
      <c r="C6" s="5"/>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9" spans="1:10" x14ac:dyDescent="0.25">
      <c r="A9" s="5"/>
      <c r="B9" s="5"/>
      <c r="C9" s="5"/>
      <c r="D9" s="5"/>
      <c r="E9" s="5"/>
      <c r="F9" s="5"/>
      <c r="G9" s="5"/>
      <c r="H9" s="5"/>
      <c r="I9" s="5"/>
      <c r="J9" s="5"/>
    </row>
    <row r="10" spans="1:10" x14ac:dyDescent="0.25">
      <c r="A10" s="5"/>
      <c r="B10" s="5"/>
      <c r="C10" s="5"/>
      <c r="D10" s="5"/>
      <c r="E10" s="5"/>
      <c r="F10" s="5"/>
      <c r="G10" s="5"/>
      <c r="H10" s="5"/>
      <c r="I10" s="5"/>
      <c r="J10" s="5"/>
    </row>
    <row r="11" spans="1:10" x14ac:dyDescent="0.25">
      <c r="A11" s="5"/>
      <c r="B11" s="5"/>
      <c r="C11" s="5"/>
      <c r="D11" s="5"/>
      <c r="E11" s="5"/>
      <c r="F11" s="5"/>
      <c r="G11" s="5"/>
      <c r="H11" s="5"/>
      <c r="I11" s="5"/>
      <c r="J11" s="5"/>
    </row>
    <row r="12" spans="1:10" x14ac:dyDescent="0.25">
      <c r="A12" s="5"/>
      <c r="B12" s="5"/>
      <c r="C12" s="5"/>
      <c r="D12" s="5"/>
      <c r="E12" s="5"/>
      <c r="F12" s="5"/>
      <c r="G12" s="5"/>
      <c r="H12" s="5"/>
      <c r="I12" s="5"/>
      <c r="J12" s="5"/>
    </row>
    <row r="13" spans="1:10" x14ac:dyDescent="0.25">
      <c r="A13" s="5"/>
      <c r="B13" s="5"/>
      <c r="C13" s="5"/>
      <c r="D13" s="5"/>
      <c r="E13" s="5"/>
      <c r="F13" s="5"/>
      <c r="G13" s="5"/>
      <c r="H13" s="5"/>
      <c r="I13" s="5"/>
      <c r="J13" s="5"/>
    </row>
    <row r="14" spans="1:10" x14ac:dyDescent="0.25">
      <c r="A14" s="5"/>
      <c r="B14" s="5"/>
      <c r="C14" s="5"/>
      <c r="D14" s="5"/>
      <c r="E14" s="5"/>
      <c r="F14" s="5"/>
      <c r="G14" s="5"/>
      <c r="H14" s="5"/>
      <c r="I14" s="5"/>
      <c r="J14" s="5"/>
    </row>
  </sheetData>
  <mergeCells count="1">
    <mergeCell ref="A1:J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BaselineData</vt:lpstr>
      <vt:lpstr>FineTuneData</vt:lpstr>
      <vt:lpstr>OneImprovement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Lauren Brenner</cp:lastModifiedBy>
  <dcterms:created xsi:type="dcterms:W3CDTF">2026-09-18T19:58:22Z</dcterms:created>
  <dcterms:modified xsi:type="dcterms:W3CDTF">2026-09-23T19:22:11Z</dcterms:modified>
</cp:coreProperties>
</file>